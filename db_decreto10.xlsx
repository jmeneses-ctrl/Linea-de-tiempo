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Expansión_Transmisión_2025" sheetId="1" state="visible" r:id="rId1"/>
    <sheet name="Norma_Programación_Operación" sheetId="2" state="visible" r:id="rId2"/>
    <sheet name="_Pruebas" sheetId="3" state="hidden" r:id="rId3"/>
    <sheet name="Valorización_2024-2027" sheetId="4" state="visible" r:id="rId4"/>
    <sheet name="_Expansión_Transmisión" sheetId="5" state="visible" r:id="rId5"/>
    <sheet name="_Nuevas_fechas_Decreto_10" sheetId="6" state="visible" r:id="rId6"/>
    <sheet name="_Decreto_10" sheetId="7" state="visible" r:id="rId7"/>
    <sheet name="_Feriado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sz val="8"/>
      <scheme val="minor"/>
    </font>
    <font>
      <name val="Arial"/>
      <family val="2"/>
      <b val="1"/>
      <color rgb="FF1F1F1F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color theme="10"/>
      <sz val="10"/>
      <u val="single"/>
      <scheme val="minor"/>
    </font>
    <font>
      <name val="Arial"/>
      <family val="2"/>
      <b val="1"/>
      <color rgb="FF1F1F1F"/>
      <sz val="10"/>
    </font>
    <font>
      <name val="Arial"/>
      <family val="2"/>
      <b val="1"/>
      <color rgb="FF000000"/>
      <sz val="11"/>
      <scheme val="minor"/>
    </font>
  </fonts>
  <fills count="2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DD868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theme="4" tint="0.3999755851924192"/>
      </top>
      <bottom style="medium">
        <color rgb="FF000000"/>
      </bottom>
      <diagonal/>
    </border>
    <border>
      <left style="medium">
        <color rgb="FF000000"/>
      </left>
      <right/>
      <top style="thin">
        <color theme="4" tint="0.3999755851924192"/>
      </top>
      <bottom style="medium">
        <color rgb="FF000000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 style="medium">
        <color rgb="FF000000"/>
      </right>
      <top style="thin">
        <color theme="4" tint="0.3999755851924192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97">
    <xf numFmtId="0" fontId="0" fillId="0" borderId="0" pivotButton="0" quotePrefix="0" xfId="0"/>
    <xf numFmtId="14" fontId="0" fillId="0" borderId="0" pivotButton="0" quotePrefix="0" xfId="0"/>
    <xf numFmtId="0" fontId="2" fillId="0" borderId="1" applyAlignment="1" pivotButton="0" quotePrefix="0" xfId="0">
      <alignment horizontal="center" vertical="center" wrapText="1" readingOrder="1"/>
    </xf>
    <xf numFmtId="15" fontId="2" fillId="0" borderId="1" applyAlignment="1" pivotButton="0" quotePrefix="0" xfId="0">
      <alignment horizontal="center" vertical="center" wrapText="1" readingOrder="1"/>
    </xf>
    <xf numFmtId="0" fontId="3" fillId="0" borderId="0" pivotButton="0" quotePrefix="0" xfId="0"/>
    <xf numFmtId="0" fontId="2" fillId="0" borderId="2" applyAlignment="1" pivotButton="0" quotePrefix="0" xfId="0">
      <alignment horizontal="center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15" fontId="2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 readingOrder="1"/>
    </xf>
    <xf numFmtId="17" fontId="2" fillId="3" borderId="1" applyAlignment="1" pivotButton="0" quotePrefix="0" xfId="0">
      <alignment horizontal="center" vertical="center" wrapText="1" readingOrder="1"/>
    </xf>
    <xf numFmtId="15" fontId="2" fillId="3" borderId="1" applyAlignment="1" pivotButton="0" quotePrefix="0" xfId="0">
      <alignment horizontal="center" vertical="center" wrapText="1" readingOrder="1"/>
    </xf>
    <xf numFmtId="0" fontId="2" fillId="4" borderId="1" applyAlignment="1" pivotButton="0" quotePrefix="0" xfId="0">
      <alignment horizontal="center" vertical="center" wrapText="1" readingOrder="1"/>
    </xf>
    <xf numFmtId="15" fontId="2" fillId="4" borderId="1" applyAlignment="1" pivotButton="0" quotePrefix="0" xfId="0">
      <alignment horizontal="center" vertical="center" wrapText="1" readingOrder="1"/>
    </xf>
    <xf numFmtId="0" fontId="2" fillId="5" borderId="1" applyAlignment="1" pivotButton="0" quotePrefix="0" xfId="0">
      <alignment horizontal="center" vertical="center" wrapText="1" readingOrder="1"/>
    </xf>
    <xf numFmtId="15" fontId="2" fillId="5" borderId="1" applyAlignment="1" pivotButton="0" quotePrefix="0" xfId="0">
      <alignment horizontal="center" vertical="center" wrapText="1" readingOrder="1"/>
    </xf>
    <xf numFmtId="0" fontId="2" fillId="2" borderId="4" applyAlignment="1" pivotButton="0" quotePrefix="0" xfId="0">
      <alignment horizontal="center" vertical="center" wrapText="1" readingOrder="1"/>
    </xf>
    <xf numFmtId="15" fontId="2" fillId="2" borderId="3" applyAlignment="1" pivotButton="0" quotePrefix="0" xfId="0">
      <alignment horizontal="center" vertical="center" wrapText="1" readingOrder="1"/>
    </xf>
    <xf numFmtId="15" fontId="2" fillId="2" borderId="5" applyAlignment="1" pivotButton="0" quotePrefix="0" xfId="0">
      <alignment horizontal="center" vertical="center" wrapText="1" readingOrder="1"/>
    </xf>
    <xf numFmtId="17" fontId="2" fillId="5" borderId="1" applyAlignment="1" pivotButton="0" quotePrefix="0" xfId="0">
      <alignment horizontal="center" vertical="center" wrapText="1" readingOrder="1"/>
    </xf>
    <xf numFmtId="1" fontId="2" fillId="5" borderId="1" applyAlignment="1" pivotButton="0" quotePrefix="0" xfId="0">
      <alignment horizontal="center" vertical="center" wrapText="1" readingOrder="1"/>
    </xf>
    <xf numFmtId="0" fontId="2" fillId="6" borderId="1" applyAlignment="1" pivotButton="0" quotePrefix="0" xfId="0">
      <alignment horizontal="center" vertical="center" wrapText="1" readingOrder="1"/>
    </xf>
    <xf numFmtId="17" fontId="2" fillId="6" borderId="1" applyAlignment="1" pivotButton="0" quotePrefix="0" xfId="0">
      <alignment horizontal="center" vertical="center" wrapText="1" readingOrder="1"/>
    </xf>
    <xf numFmtId="15" fontId="2" fillId="6" borderId="1" applyAlignment="1" pivotButton="0" quotePrefix="0" xfId="0">
      <alignment horizontal="center" vertical="center" wrapText="1" readingOrder="1"/>
    </xf>
    <xf numFmtId="0" fontId="0" fillId="10" borderId="0" pivotButton="0" quotePrefix="0" xfId="0"/>
    <xf numFmtId="0" fontId="0" fillId="8" borderId="0" pivotButton="0" quotePrefix="0" xfId="0"/>
    <xf numFmtId="0" fontId="2" fillId="11" borderId="1" applyAlignment="1" pivotButton="0" quotePrefix="0" xfId="0">
      <alignment horizontal="center" vertical="center" wrapText="1" readingOrder="1"/>
    </xf>
    <xf numFmtId="15" fontId="2" fillId="11" borderId="1" applyAlignment="1" pivotButton="0" quotePrefix="0" xfId="0">
      <alignment horizontal="center" vertical="center" wrapText="1" readingOrder="1"/>
    </xf>
    <xf numFmtId="0" fontId="2" fillId="12" borderId="1" applyAlignment="1" pivotButton="0" quotePrefix="0" xfId="0">
      <alignment horizontal="center" vertical="center" wrapText="1" readingOrder="1"/>
    </xf>
    <xf numFmtId="17" fontId="2" fillId="12" borderId="1" applyAlignment="1" pivotButton="0" quotePrefix="0" xfId="0">
      <alignment horizontal="center" vertical="center" wrapText="1" readingOrder="1"/>
    </xf>
    <xf numFmtId="0" fontId="2" fillId="9" borderId="1" applyAlignment="1" pivotButton="0" quotePrefix="0" xfId="0">
      <alignment horizontal="center" vertical="center" wrapText="1" readingOrder="1"/>
    </xf>
    <xf numFmtId="17" fontId="2" fillId="9" borderId="1" applyAlignment="1" pivotButton="0" quotePrefix="0" xfId="0">
      <alignment horizontal="center" vertical="center" wrapText="1" readingOrder="1"/>
    </xf>
    <xf numFmtId="15" fontId="2" fillId="9" borderId="1" applyAlignment="1" pivotButton="0" quotePrefix="0" xfId="0">
      <alignment horizontal="center" vertical="center" wrapText="1" readingOrder="1"/>
    </xf>
    <xf numFmtId="0" fontId="2" fillId="13" borderId="1" applyAlignment="1" pivotButton="0" quotePrefix="0" xfId="0">
      <alignment horizontal="center" vertical="center" wrapText="1" readingOrder="1"/>
    </xf>
    <xf numFmtId="15" fontId="2" fillId="13" borderId="1" applyAlignment="1" pivotButton="0" quotePrefix="0" xfId="0">
      <alignment horizontal="center" vertical="center" wrapText="1" readingOrder="1"/>
    </xf>
    <xf numFmtId="1" fontId="2" fillId="13" borderId="1" applyAlignment="1" pivotButton="0" quotePrefix="0" xfId="0">
      <alignment horizontal="center" vertical="center" wrapText="1" readingOrder="1"/>
    </xf>
    <xf numFmtId="1" fontId="2" fillId="6" borderId="1" applyAlignment="1" pivotButton="0" quotePrefix="0" xfId="0">
      <alignment horizontal="center" vertical="center" wrapText="1" readingOrder="1"/>
    </xf>
    <xf numFmtId="1" fontId="2" fillId="3" borderId="1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center" vertical="center" wrapText="1" readingOrder="1"/>
    </xf>
    <xf numFmtId="0" fontId="2" fillId="0" borderId="6" applyAlignment="1" pivotButton="0" quotePrefix="0" xfId="0">
      <alignment horizontal="center" vertical="center" wrapText="1" readingOrder="1"/>
    </xf>
    <xf numFmtId="15" fontId="2" fillId="5" borderId="3" applyAlignment="1" pivotButton="0" quotePrefix="0" xfId="0">
      <alignment horizontal="center" vertical="center" wrapText="1" readingOrder="1"/>
    </xf>
    <xf numFmtId="15" fontId="2" fillId="13" borderId="3" applyAlignment="1" pivotButton="0" quotePrefix="0" xfId="0">
      <alignment horizontal="center" vertical="center" wrapText="1" readingOrder="1"/>
    </xf>
    <xf numFmtId="1" fontId="0" fillId="0" borderId="0" pivotButton="0" quotePrefix="0" xfId="0"/>
    <xf numFmtId="1" fontId="2" fillId="0" borderId="1" applyAlignment="1" pivotButton="0" quotePrefix="0" xfId="0">
      <alignment horizontal="center" vertical="center" wrapText="1" readingOrder="1"/>
    </xf>
    <xf numFmtId="0" fontId="2" fillId="0" borderId="7" applyAlignment="1" pivotButton="0" quotePrefix="0" xfId="0">
      <alignment horizontal="center" vertical="center" wrapText="1" readingOrder="1"/>
    </xf>
    <xf numFmtId="1" fontId="2" fillId="5" borderId="2" applyAlignment="1" pivotButton="0" quotePrefix="0" xfId="0">
      <alignment horizontal="center" vertical="center" wrapText="1" readingOrder="1"/>
    </xf>
    <xf numFmtId="1" fontId="2" fillId="5" borderId="8" applyAlignment="1" pivotButton="0" quotePrefix="0" xfId="0">
      <alignment horizontal="center" vertical="center" wrapText="1" readingOrder="1"/>
    </xf>
    <xf numFmtId="1" fontId="2" fillId="5" borderId="9" applyAlignment="1" pivotButton="0" quotePrefix="0" xfId="0">
      <alignment horizontal="center" vertical="center" wrapText="1" readingOrder="1"/>
    </xf>
    <xf numFmtId="1" fontId="2" fillId="13" borderId="9" applyAlignment="1" pivotButton="0" quotePrefix="0" xfId="0">
      <alignment horizontal="center" vertical="center" wrapText="1" readingOrder="1"/>
    </xf>
    <xf numFmtId="1" fontId="2" fillId="5" borderId="5" applyAlignment="1" pivotButton="0" quotePrefix="0" xfId="0">
      <alignment horizontal="center" vertical="center" wrapText="1" readingOrder="1"/>
    </xf>
    <xf numFmtId="0" fontId="2" fillId="0" borderId="10" applyAlignment="1" pivotButton="0" quotePrefix="0" xfId="0">
      <alignment horizontal="center" vertical="center" wrapText="1" readingOrder="1"/>
    </xf>
    <xf numFmtId="0" fontId="2" fillId="5" borderId="11" applyAlignment="1" pivotButton="0" quotePrefix="0" xfId="0">
      <alignment horizontal="center" vertical="center" wrapText="1" readingOrder="1"/>
    </xf>
    <xf numFmtId="0" fontId="2" fillId="13" borderId="11" applyAlignment="1" pivotButton="0" quotePrefix="0" xfId="0">
      <alignment horizontal="center" vertical="center" wrapText="1" readingOrder="1"/>
    </xf>
    <xf numFmtId="0" fontId="2" fillId="6" borderId="11" applyAlignment="1" pivotButton="0" quotePrefix="0" xfId="0">
      <alignment horizontal="center" vertical="center" wrapText="1" readingOrder="1"/>
    </xf>
    <xf numFmtId="0" fontId="2" fillId="3" borderId="11" applyAlignment="1" pivotButton="0" quotePrefix="0" xfId="0">
      <alignment horizontal="center" vertical="center" wrapText="1" readingOrder="1"/>
    </xf>
    <xf numFmtId="0" fontId="2" fillId="3" borderId="12" applyAlignment="1" pivotButton="0" quotePrefix="0" xfId="0">
      <alignment horizontal="center" vertical="center" wrapText="1" readingOrder="1"/>
    </xf>
    <xf numFmtId="0" fontId="2" fillId="3" borderId="4" applyAlignment="1" pivotButton="0" quotePrefix="0" xfId="0">
      <alignment horizontal="center" vertical="center" wrapText="1" readingOrder="1"/>
    </xf>
    <xf numFmtId="1" fontId="2" fillId="3" borderId="4" applyAlignment="1" pivotButton="0" quotePrefix="0" xfId="0">
      <alignment horizontal="center" vertical="center" wrapText="1" readingOrder="1"/>
    </xf>
    <xf numFmtId="15" fontId="2" fillId="3" borderId="4" applyAlignment="1" pivotButton="0" quotePrefix="0" xfId="0">
      <alignment horizontal="center" vertical="center" wrapText="1" readingOrder="1"/>
    </xf>
    <xf numFmtId="0" fontId="5" fillId="5" borderId="1" applyAlignment="1" pivotButton="0" quotePrefix="0" xfId="1">
      <alignment horizontal="center" vertical="center" wrapText="1" readingOrder="1"/>
    </xf>
    <xf numFmtId="1" fontId="2" fillId="11" borderId="1" applyAlignment="1" pivotButton="0" quotePrefix="0" xfId="0">
      <alignment horizontal="center" vertical="center" wrapText="1" readingOrder="1"/>
    </xf>
    <xf numFmtId="0" fontId="5" fillId="13" borderId="1" applyAlignment="1" pivotButton="0" quotePrefix="0" xfId="2">
      <alignment horizontal="center" vertical="center" wrapText="1" readingOrder="1"/>
    </xf>
    <xf numFmtId="15" fontId="2" fillId="3" borderId="2" applyAlignment="1" pivotButton="0" quotePrefix="0" xfId="0">
      <alignment horizontal="center" vertical="center" wrapText="1" readingOrder="1"/>
    </xf>
    <xf numFmtId="15" fontId="6" fillId="14" borderId="1" applyAlignment="1" pivotButton="0" quotePrefix="0" xfId="0">
      <alignment horizontal="center" vertical="center" wrapText="1" readingOrder="1"/>
    </xf>
    <xf numFmtId="15" fontId="6" fillId="14" borderId="2" applyAlignment="1" pivotButton="0" quotePrefix="0" xfId="0">
      <alignment horizontal="center" vertical="center" wrapText="1" readingOrder="1"/>
    </xf>
    <xf numFmtId="0" fontId="2" fillId="11" borderId="11" applyAlignment="1" pivotButton="0" quotePrefix="0" xfId="0">
      <alignment horizontal="center" vertical="center" wrapText="1" readingOrder="1"/>
    </xf>
    <xf numFmtId="0" fontId="5" fillId="11" borderId="1" applyAlignment="1" pivotButton="0" quotePrefix="0" xfId="1">
      <alignment horizontal="center" vertical="center" wrapText="1" readingOrder="1"/>
    </xf>
    <xf numFmtId="15" fontId="2" fillId="11" borderId="3" applyAlignment="1" pivotButton="0" quotePrefix="0" xfId="0">
      <alignment horizontal="center" vertical="center" wrapText="1" readingOrder="1"/>
    </xf>
    <xf numFmtId="1" fontId="2" fillId="11" borderId="9" applyAlignment="1" pivotButton="0" quotePrefix="0" xfId="0">
      <alignment horizontal="center" vertical="center" wrapText="1" readingOrder="1"/>
    </xf>
    <xf numFmtId="15" fontId="6" fillId="15" borderId="1" applyAlignment="1" pivotButton="0" quotePrefix="0" xfId="0">
      <alignment horizontal="center" vertical="center" wrapText="1" readingOrder="1"/>
    </xf>
    <xf numFmtId="0" fontId="5" fillId="5" borderId="1" applyAlignment="1" pivotButton="0" quotePrefix="0" xfId="2">
      <alignment horizontal="center" vertical="center" wrapText="1" readingOrder="1"/>
    </xf>
    <xf numFmtId="0" fontId="2" fillId="7" borderId="11" applyAlignment="1" pivotButton="0" quotePrefix="0" xfId="0">
      <alignment horizontal="center" vertical="center" wrapText="1" readingOrder="1"/>
    </xf>
    <xf numFmtId="0" fontId="2" fillId="7" borderId="1" applyAlignment="1" pivotButton="0" quotePrefix="0" xfId="0">
      <alignment horizontal="center" vertical="center" wrapText="1" readingOrder="1"/>
    </xf>
    <xf numFmtId="0" fontId="5" fillId="7" borderId="1" applyAlignment="1" pivotButton="0" quotePrefix="0" xfId="1">
      <alignment horizontal="center" vertical="center" wrapText="1" readingOrder="1"/>
    </xf>
    <xf numFmtId="1" fontId="2" fillId="7" borderId="1" applyAlignment="1" pivotButton="0" quotePrefix="0" xfId="0">
      <alignment horizontal="center" vertical="center" wrapText="1" readingOrder="1"/>
    </xf>
    <xf numFmtId="15" fontId="2" fillId="7" borderId="1" applyAlignment="1" pivotButton="0" quotePrefix="0" xfId="0">
      <alignment horizontal="center" vertical="center" wrapText="1" readingOrder="1"/>
    </xf>
    <xf numFmtId="15" fontId="6" fillId="16" borderId="1" applyAlignment="1" pivotButton="0" quotePrefix="0" xfId="0">
      <alignment horizontal="center" vertical="center" wrapText="1" readingOrder="1"/>
    </xf>
    <xf numFmtId="15" fontId="2" fillId="17" borderId="1" applyAlignment="1" pivotButton="0" quotePrefix="0" xfId="0">
      <alignment horizontal="center" vertical="center" wrapText="1" readingOrder="1"/>
    </xf>
    <xf numFmtId="15" fontId="2" fillId="2" borderId="13" applyAlignment="1" pivotButton="0" quotePrefix="0" xfId="0">
      <alignment horizontal="center" vertical="center" wrapText="1" readingOrder="1"/>
    </xf>
    <xf numFmtId="15" fontId="2" fillId="12" borderId="3" applyAlignment="1" pivotButton="0" quotePrefix="0" xfId="0">
      <alignment horizontal="center" vertical="center" wrapText="1" readingOrder="1"/>
    </xf>
    <xf numFmtId="15" fontId="2" fillId="9" borderId="3" applyAlignment="1" pivotButton="0" quotePrefix="0" xfId="0">
      <alignment horizontal="center" vertical="center" wrapText="1" readingOrder="1"/>
    </xf>
    <xf numFmtId="15" fontId="2" fillId="2" borderId="8" applyAlignment="1" pivotButton="0" quotePrefix="0" xfId="0">
      <alignment horizontal="center" vertical="center" wrapText="1" readingOrder="1"/>
    </xf>
    <xf numFmtId="15" fontId="2" fillId="2" borderId="9" applyAlignment="1" pivotButton="0" quotePrefix="0" xfId="0">
      <alignment horizontal="center" vertical="center" wrapText="1" readingOrder="1"/>
    </xf>
    <xf numFmtId="0" fontId="2" fillId="19" borderId="2" applyAlignment="1" pivotButton="0" quotePrefix="0" xfId="0">
      <alignment horizontal="center" vertical="center" wrapText="1" readingOrder="1"/>
    </xf>
    <xf numFmtId="0" fontId="2" fillId="18" borderId="14" applyAlignment="1" pivotButton="0" quotePrefix="0" xfId="0">
      <alignment horizontal="center" vertical="center" wrapText="1" readingOrder="1"/>
    </xf>
    <xf numFmtId="0" fontId="2" fillId="18" borderId="15" applyAlignment="1" pivotButton="0" quotePrefix="0" xfId="0">
      <alignment horizontal="center" vertical="center" wrapText="1" readingOrder="1"/>
    </xf>
    <xf numFmtId="0" fontId="2" fillId="18" borderId="7" applyAlignment="1" pivotButton="0" quotePrefix="0" xfId="0">
      <alignment horizontal="center" vertical="center" wrapText="1" readingOrder="1"/>
    </xf>
    <xf numFmtId="0" fontId="2" fillId="18" borderId="16" applyAlignment="1" pivotButton="0" quotePrefix="0" xfId="0">
      <alignment horizontal="center" vertical="center" wrapText="1" readingOrder="1"/>
    </xf>
    <xf numFmtId="0" fontId="2" fillId="18" borderId="17" applyAlignment="1" pivotButton="0" quotePrefix="0" xfId="0">
      <alignment horizontal="center" vertical="center" wrapText="1" readingOrder="1"/>
    </xf>
    <xf numFmtId="15" fontId="2" fillId="3" borderId="14" applyAlignment="1" pivotButton="0" quotePrefix="0" xfId="0">
      <alignment horizontal="center" vertical="center" wrapText="1" readingOrder="1"/>
    </xf>
    <xf numFmtId="0" fontId="7" fillId="0" borderId="0" pivotButton="0" quotePrefix="0" xfId="0"/>
    <xf numFmtId="0" fontId="2" fillId="18" borderId="18" applyAlignment="1" pivotButton="0" quotePrefix="0" xfId="0">
      <alignment horizontal="center" vertical="center" wrapText="1" readingOrder="1"/>
    </xf>
    <xf numFmtId="0" fontId="2" fillId="19" borderId="18" applyAlignment="1" pivotButton="0" quotePrefix="0" xfId="0">
      <alignment horizontal="center" vertical="center" wrapText="1" readingOrder="1"/>
    </xf>
    <xf numFmtId="0" fontId="2" fillId="12" borderId="11" applyAlignment="1" pivotButton="0" quotePrefix="0" xfId="0">
      <alignment horizontal="center" vertical="center" wrapText="1" readingOrder="1"/>
    </xf>
    <xf numFmtId="17" fontId="2" fillId="3" borderId="4" applyAlignment="1" pivotButton="0" quotePrefix="0" xfId="0">
      <alignment horizontal="center" vertical="center" wrapText="1" readingOrder="1"/>
    </xf>
    <xf numFmtId="1" fontId="2" fillId="13" borderId="19" applyAlignment="1" pivotButton="0" quotePrefix="0" xfId="0">
      <alignment horizontal="center" vertical="center" wrapText="1" readingOrder="1"/>
    </xf>
    <xf numFmtId="15" fontId="6" fillId="14" borderId="4" applyAlignment="1" pivotButton="0" quotePrefix="0" xfId="0">
      <alignment horizontal="center" vertical="center" wrapText="1" readingOrder="1"/>
    </xf>
  </cellXfs>
  <cellStyles count="3">
    <cellStyle name="Normal" xfId="0" builtinId="0"/>
    <cellStyle name="Hyperlink" xfId="1"/>
    <cellStyle name="Hipervínculo" xfId="2" builtinId="8"/>
  </cellStyles>
  <dxfs count="107">
    <dxf>
      <numFmt numFmtId="19" formatCode="dd/mm/yyyy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numFmt numFmtId="164" formatCode="dd/mmm/yy"/>
      <fill>
        <patternFill patternType="solid">
          <fgColor rgb="FF000000"/>
          <bgColor rgb="FFFDD86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7" tint="0.599993896298104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fill>
        <patternFill patternType="solid">
          <fgColor rgb="FF000000"/>
          <bgColor rgb="FFFDD868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numFmt numFmtId="164" formatCode="dd/mmm/yy"/>
      <fill>
        <patternFill patternType="solid">
          <fgColor rgb="FF000000"/>
          <bgColor rgb="FFFDD86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4" tint="0.5999938962981048"/>
        </patternFill>
      </fill>
      <alignment horizontal="center" vertical="center" wrapText="1" readingOrder="1"/>
      <border>
        <left style="medium">
          <color indexed="64"/>
        </left>
        <right style="medium">
          <color indexed="64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5" formatCode="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numFmt numFmtId="164" formatCode="dd/mmm/yy"/>
      <fill>
        <patternFill patternType="solid">
          <fgColor rgb="FF000000"/>
          <bgColor rgb="FFFDD86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7" tint="0.599993896298104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fill>
        <patternFill patternType="solid">
          <fgColor rgb="FF000000"/>
          <bgColor rgb="FFFDD868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numFmt numFmtId="164" formatCode="dd/mmm/yy"/>
      <fill>
        <patternFill patternType="solid">
          <fgColor rgb="FF000000"/>
          <bgColor rgb="FFFDD86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64" formatCode="dd/mmm/yy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7" tint="0.5999938962981048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numFmt numFmtId="1" formatCode="0"/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fill>
        <patternFill patternType="solid">
          <fgColor indexed="64"/>
          <bgColor theme="6" tint="0.3999755851924192"/>
        </patternFill>
      </fill>
      <alignment horizontal="center" vertical="center" wrapText="1" readingOrder="1"/>
      <border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  <bottom style="medium">
          <color rgb="FF000000"/>
        </bottom>
      </border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</font>
      <fill>
        <patternFill patternType="solid">
          <fgColor rgb="FF000000"/>
          <bgColor rgb="FFFDD868"/>
        </patternFill>
      </fill>
      <alignment horizontal="center" vertical="center" wrapText="1" readingOrder="1"/>
    </dxf>
    <dxf>
      <font>
        <name val="Arial"/>
        <family val="2"/>
        <b val="1"/>
        <strike val="0"/>
        <outline val="0"/>
        <shadow val="0"/>
        <condense val="0"/>
        <color rgb="FF1F1F1F"/>
        <extend val="0"/>
        <sz val="10"/>
        <vertAlign val="baseline"/>
        <scheme val="minor"/>
      </font>
      <alignment horizontal="center" vertical="center" wrapText="1" readingOrder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Type="http://schemas.microsoft.com/office/2006/relationships/vbaProject" Target="vbaProject.bin" Id="rId11" /></Relationships>
</file>

<file path=xl/tables/table1.xml><?xml version="1.0" encoding="utf-8"?>
<table xmlns="http://schemas.openxmlformats.org/spreadsheetml/2006/main" id="1" name="Fechas_Norma_Planificación_Operación46" displayName="Fechas_Norma_Planificación_Operación46" ref="A1:R16" headerRowCount="1" totalsRowShown="0" headerRowDxfId="106" dataDxfId="105" tableBorderDxfId="104">
  <autoFilter ref="A1:R16"/>
  <tableColumns count="18">
    <tableColumn id="1" name="ID" dataDxfId="103"/>
    <tableColumn id="2" name="Norma" dataDxfId="102"/>
    <tableColumn id="3" name="Periodo" dataDxfId="101"/>
    <tableColumn id="4" name="Proceso" dataDxfId="100"/>
    <tableColumn id="5" name="Hito / Etapa" dataDxfId="99"/>
    <tableColumn id="6" name="Responsable" dataDxfId="98"/>
    <tableColumn id="7" name="Agente" dataDxfId="97"/>
    <tableColumn id="8" name="Plazo" dataDxfId="96"/>
    <tableColumn id="9" name="Tipo_Dia" dataDxfId="95"/>
    <tableColumn id="10" name="ID_Gatillador" dataDxfId="94"/>
    <tableColumn id="18" name="Fecha_teórica" dataDxfId="93"/>
    <tableColumn id="11" name="Fecha_Proyectada" dataDxfId="92">
      <calculatedColumnFormula>IF(I2="Corridos",H2+N1,WORKDAY(N1,H2,Tabla4[Fecha]))</calculatedColumnFormula>
    </tableColumn>
    <tableColumn id="12" name="Fecha_Real_Manual" dataDxfId="91"/>
    <tableColumn id="13" name="Fecha_Vigente" dataDxfId="90">
      <calculatedColumnFormula>IF(ISBLANK(M2),L2,M2)</calculatedColumnFormula>
    </tableColumn>
    <tableColumn id="14" name="Dias_Restantes" dataDxfId="89">
      <calculatedColumnFormula>N2-TODAY()</calculatedColumnFormula>
    </tableColumn>
    <tableColumn id="15" name="Respuesta/Interactua" dataDxfId="88"/>
    <tableColumn id="16" name="Descripción" dataDxfId="87"/>
    <tableColumn id="19" name="Descripción_interacción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echas_Norma_Planificación_Operación" displayName="Fechas_Norma_Planificación_Operación" ref="A1:R21" headerRowCount="1" totalsRowShown="0" headerRowDxfId="85" dataDxfId="84" tableBorderDxfId="83">
  <autoFilter ref="A1:R21"/>
  <tableColumns count="18">
    <tableColumn id="1" name="ID" dataDxfId="82"/>
    <tableColumn id="2" name="Norma" dataDxfId="81"/>
    <tableColumn id="3" name="Periodo" dataDxfId="80"/>
    <tableColumn id="4" name="Proceso" dataDxfId="79"/>
    <tableColumn id="5" name="Hito / Etapa" dataDxfId="78"/>
    <tableColumn id="6" name="Responsable" dataDxfId="77"/>
    <tableColumn id="7" name="Agente" dataDxfId="76"/>
    <tableColumn id="8" name="Plazo" dataDxfId="75"/>
    <tableColumn id="9" name="Tipo_Dia" dataDxfId="74"/>
    <tableColumn id="18" name="Gatillo" dataDxfId="73"/>
    <tableColumn id="10" name="Fecha_teórica" dataDxfId="72"/>
    <tableColumn id="11" name="Fecha_Proyectada" dataDxfId="71">
      <calculatedColumnFormula>IF(I2="Corridos",H2+N1,WORKDAY(N1,H2,Tabla4[Fecha]))</calculatedColumnFormula>
    </tableColumn>
    <tableColumn id="12" name="Fecha_Real_Manual" dataDxfId="70"/>
    <tableColumn id="13" name="Fecha_Vigente" dataDxfId="69">
      <calculatedColumnFormula>IF(ISBLANK(M2),L2,M2)</calculatedColumnFormula>
    </tableColumn>
    <tableColumn id="14" name="Dias_Restantes" dataDxfId="68">
      <calculatedColumnFormula>N2-TODAY()</calculatedColumnFormula>
    </tableColumn>
    <tableColumn id="15" name="Respuesta/Interactua" dataDxfId="67"/>
    <tableColumn id="16" name="Descripción" dataDxfId="66"/>
    <tableColumn id="17" name="¿Ligado a Diario Oficial?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orización_2024_2027" displayName="Valorización_2024_2027" ref="A1:R43" headerRowCount="1" totalsRowShown="0" headerRowDxfId="64" dataDxfId="63" tableBorderDxfId="62">
  <autoFilter ref="A1:R43"/>
  <tableColumns count="18">
    <tableColumn id="1" name="ID" dataDxfId="61"/>
    <tableColumn id="2" name="Norma" dataDxfId="60"/>
    <tableColumn id="3" name="Periodo" dataDxfId="59"/>
    <tableColumn id="4" name="Proceso" dataDxfId="58"/>
    <tableColumn id="5" name="Hito / Etapa" dataDxfId="57"/>
    <tableColumn id="6" name="Responsable" dataDxfId="56"/>
    <tableColumn id="7" name="Agente" dataDxfId="55"/>
    <tableColumn id="8" name="Plazo" dataDxfId="54"/>
    <tableColumn id="9" name="Tipo_Dia" dataDxfId="53"/>
    <tableColumn id="10" name="ID_Gatillador" dataDxfId="52"/>
    <tableColumn id="11" name="Fecha_teórica" dataDxfId="51">
      <calculatedColumnFormula>IF(I1="Corridos",H1+K1,WORKDAY(K1,H1,Tabla4[Fecha]))</calculatedColumnFormula>
    </tableColumn>
    <tableColumn id="12" name="Fecha_Proyectada" dataDxfId="50">
      <calculatedColumnFormula>IF(I2="Corridos",H2+N1,WORKDAY(N1,H2,Tabla4[Fecha]))</calculatedColumnFormula>
    </tableColumn>
    <tableColumn id="13" name="Fecha_Real_Manual" dataDxfId="49"/>
    <tableColumn id="14" name="Fecha_Vigente" dataDxfId="48">
      <calculatedColumnFormula>IF(ISBLANK(M2),L2,M2)</calculatedColumnFormula>
    </tableColumn>
    <tableColumn id="15" name="Dias_Restantes" dataDxfId="47">
      <calculatedColumnFormula>N2-TODAY()</calculatedColumnFormula>
    </tableColumn>
    <tableColumn id="16" name="Respuesta" dataDxfId="46"/>
    <tableColumn id="17" name="Descripción" dataDxfId="45"/>
    <tableColumn id="18" name="Descripción_respuesta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echas_Norma_Planificación_Operación4" displayName="Fechas_Norma_Planificación_Operación4" ref="A1:R33" headerRowCount="1" totalsRowShown="0" headerRowDxfId="43" dataDxfId="42" tableBorderDxfId="41">
  <autoFilter ref="A1:R33"/>
  <tableColumns count="18">
    <tableColumn id="1" name="ID" dataDxfId="40"/>
    <tableColumn id="2" name="Norma" dataDxfId="39"/>
    <tableColumn id="3" name="Periodo" dataDxfId="38"/>
    <tableColumn id="4" name="Proceso" dataDxfId="37"/>
    <tableColumn id="5" name="Hito / Etapa" dataDxfId="36"/>
    <tableColumn id="6" name="Responsable" dataDxfId="35"/>
    <tableColumn id="7" name="Agente" dataDxfId="34"/>
    <tableColumn id="8" name="Plazo" dataDxfId="33"/>
    <tableColumn id="9" name="Tipo_Dia" dataDxfId="32"/>
    <tableColumn id="10" name="ID_Gatillador" dataDxfId="31"/>
    <tableColumn id="18" name="Fecha_téorica" dataDxfId="30"/>
    <tableColumn id="11" name="Fecha_Proyectada" dataDxfId="29">
      <calculatedColumnFormula>IF(I2="Corridos",H2+N1,WORKDAY(N1,H2,Tabla4[Fecha]))</calculatedColumnFormula>
    </tableColumn>
    <tableColumn id="12" name="Fecha_Real_Manual" dataDxfId="28"/>
    <tableColumn id="13" name="Fecha_Vigente" dataDxfId="27">
      <calculatedColumnFormula>IF(ISBLANK(M2),L2,M2)</calculatedColumnFormula>
    </tableColumn>
    <tableColumn id="14" name="Dias_Restantes" dataDxfId="26">
      <calculatedColumnFormula>N2-TODAY()</calculatedColumnFormula>
    </tableColumn>
    <tableColumn id="15" name="Respuesta/Interactua" dataDxfId="25"/>
    <tableColumn id="16" name="Descripción" dataDxfId="24"/>
    <tableColumn id="19" name="Descripción_interacción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echas_Decreto_10" displayName="Fechas_Decreto_10" ref="A1:S38" headerRowCount="1" totalsRowShown="0" headerRowDxfId="22" dataDxfId="21" tableBorderDxfId="20">
  <autoFilter ref="A1:S38"/>
  <tableColumns count="19">
    <tableColumn id="1" name="ID" dataDxfId="19"/>
    <tableColumn id="2" name="Norma" dataDxfId="18"/>
    <tableColumn id="3" name="Periodo" dataDxfId="17"/>
    <tableColumn id="4" name="Proceso" dataDxfId="16"/>
    <tableColumn id="5" name="Hito / Etapa" dataDxfId="15"/>
    <tableColumn id="6" name="Responsable" dataDxfId="14"/>
    <tableColumn id="7" name="Agente" dataDxfId="13"/>
    <tableColumn id="8" name="Plazo" dataDxfId="12"/>
    <tableColumn id="9" name="Tipo_Dia" dataDxfId="11"/>
    <tableColumn id="10" name="ID_Gatillador" dataDxfId="10"/>
    <tableColumn id="18" name="Fecha_teórica" dataDxfId="9"/>
    <tableColumn id="11" name="Fecha_Proyectada" dataDxfId="8">
      <calculatedColumnFormula>IF(I2="Corridos",H2+N1,WORKDAY(N1,H2,Tabla4[Fecha]))</calculatedColumnFormula>
    </tableColumn>
    <tableColumn id="12" name="Fecha_Real_Manual" dataDxfId="7"/>
    <tableColumn id="13" name="Fecha_Vigente" dataDxfId="6">
      <calculatedColumnFormula>IF(ISBLANK(M2),L2,M2)</calculatedColumnFormula>
    </tableColumn>
    <tableColumn id="14" name="Dias_Restantes" dataDxfId="5">
      <calculatedColumnFormula>N2-TODAY()</calculatedColumnFormula>
    </tableColumn>
    <tableColumn id="15" name="Respuesta" dataDxfId="4"/>
    <tableColumn id="16" name="Descripción" dataDxfId="3"/>
    <tableColumn id="17" name="Descripción_respuesta" dataDxfId="2"/>
    <tableColumn id="19" name="Link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4" displayName="Tabla4" ref="A1:H211" headerRowCount="1" totalsRowShown="0">
  <autoFilter ref="A1:H211"/>
  <tableColumns count="8">
    <tableColumn id="1" name="Año"/>
    <tableColumn id="2" name="Fecha" dataDxfId="0"/>
    <tableColumn id="3" name="Día"/>
    <tableColumn id="4" name="Feriado"/>
    <tableColumn id="5" name="Tipo"/>
    <tableColumn id="6" name="Ámbito"/>
    <tableColumn id="7" name="Región"/>
    <tableColumn id="8" name="Irrenunci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mailto:ep_tvaldes@colbun.cl" TargetMode="Externa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mailto:ep_tvaldes@colbun.cl" TargetMode="Externa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mailto:ep_tvaldes@colbun.cl" TargetMode="Externa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mailto:ep_tvaldes@colbun.cl" TargetMode="External" Id="rId1" /><Relationship Type="http://schemas.openxmlformats.org/officeDocument/2006/relationships/hyperlink" Target="mailto:ep_tvaldes@colbun.cl" TargetMode="External" Id="rId2" /><Relationship Type="http://schemas.openxmlformats.org/officeDocument/2006/relationships/table" Target="/xl/tables/table5.xml" Id="rId3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6"/>
  <sheetViews>
    <sheetView zoomScale="85" zoomScaleNormal="70" workbookViewId="0">
      <pane ySplit="1" topLeftCell="A3" activePane="bottomLeft" state="frozen"/>
      <selection pane="bottomLeft" activeCell="P10" sqref="P10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23.7109375" customWidth="1" min="5" max="5"/>
    <col width="21.5703125" bestFit="1" customWidth="1" min="6" max="6"/>
    <col width="19.28515625" bestFit="1" customWidth="1" min="7" max="7"/>
    <col width="15.28515625" bestFit="1" customWidth="1" min="8" max="8"/>
    <col width="15.7109375" customWidth="1" min="9" max="9"/>
    <col width="17.140625" bestFit="1" customWidth="1" min="10" max="10"/>
    <col width="17.140625" customWidth="1" min="11" max="11"/>
    <col width="19.28515625" customWidth="1" min="12" max="12"/>
    <col width="23" customWidth="1" min="13" max="13"/>
    <col width="16.140625" customWidth="1" min="14" max="14"/>
    <col width="16.7109375" customWidth="1" min="15" max="16"/>
    <col width="27.28515625" customWidth="1" min="17" max="17"/>
    <col width="24.85546875" customWidth="1" min="18" max="18"/>
    <col width="18.5703125" bestFit="1" customWidth="1" min="19" max="19"/>
    <col width="14" bestFit="1" customWidth="1" min="20" max="20"/>
    <col width="17.28515625" bestFit="1" customWidth="1" min="21" max="21"/>
  </cols>
  <sheetData>
    <row r="1" ht="29.45" customHeight="1" thickBot="1">
      <c r="A1" s="50" t="inlineStr">
        <is>
          <t>ID</t>
        </is>
      </c>
      <c r="B1" s="5" t="inlineStr">
        <is>
          <t>Norma</t>
        </is>
      </c>
      <c r="C1" s="5" t="inlineStr">
        <is>
          <t>Periodo</t>
        </is>
      </c>
      <c r="D1" s="5" t="inlineStr">
        <is>
          <t>Proceso</t>
        </is>
      </c>
      <c r="E1" s="5" t="inlineStr">
        <is>
          <t>Hito / Etapa</t>
        </is>
      </c>
      <c r="F1" s="5" t="inlineStr">
        <is>
          <t>Responsable</t>
        </is>
      </c>
      <c r="G1" s="5" t="inlineStr">
        <is>
          <t>Agente</t>
        </is>
      </c>
      <c r="H1" s="5" t="inlineStr">
        <is>
          <t>Plazo</t>
        </is>
      </c>
      <c r="I1" s="5" t="inlineStr">
        <is>
          <t>Tipo_Dia</t>
        </is>
      </c>
      <c r="J1" s="5" t="inlineStr">
        <is>
          <t>ID_Gatillador</t>
        </is>
      </c>
      <c r="K1" s="5" t="inlineStr">
        <is>
          <t>Fecha_teórica</t>
        </is>
      </c>
      <c r="L1" s="5" t="inlineStr">
        <is>
          <t>Fecha_Proyectada</t>
        </is>
      </c>
      <c r="M1" s="5" t="inlineStr">
        <is>
          <t>Fecha_Real_Manual</t>
        </is>
      </c>
      <c r="N1" s="39" t="inlineStr">
        <is>
          <t>Fecha_Vigente</t>
        </is>
      </c>
      <c r="O1" s="44" t="inlineStr">
        <is>
          <t>Dias_Restantes</t>
        </is>
      </c>
      <c r="P1" s="38" t="inlineStr">
        <is>
          <t>Respuesta/Interactua</t>
        </is>
      </c>
      <c r="Q1" s="38" t="inlineStr">
        <is>
          <t>Descripción</t>
        </is>
      </c>
      <c r="R1" s="38" t="inlineStr">
        <is>
          <t>Descripción_interacción</t>
        </is>
      </c>
    </row>
    <row r="2" ht="53.45" customHeight="1" thickBot="1">
      <c r="A2" s="65" t="n">
        <v>10</v>
      </c>
      <c r="B2" s="65" t="inlineStr">
        <is>
          <t>Decreto 37</t>
        </is>
      </c>
      <c r="C2" s="26" t="n">
        <v>2025</v>
      </c>
      <c r="D2" s="26" t="inlineStr">
        <is>
          <t>Planificación de la Transmisión</t>
        </is>
      </c>
      <c r="E2" s="26" t="inlineStr">
        <is>
          <t xml:space="preserve">Propuesta de Expansión de la Transmisión al SEN </t>
        </is>
      </c>
      <c r="F2" s="66" t="inlineStr">
        <is>
          <t>ep_tvaldes@colbun.cl</t>
        </is>
      </c>
      <c r="G2" s="26" t="inlineStr">
        <is>
          <t>Coordinador</t>
        </is>
      </c>
      <c r="H2" s="26" t="n"/>
      <c r="I2" s="26" t="inlineStr">
        <is>
          <t>Inicio</t>
        </is>
      </c>
      <c r="J2" s="60" t="n"/>
      <c r="K2" s="27" t="n">
        <v>45679</v>
      </c>
      <c r="L2" s="27" t="n">
        <v>45679</v>
      </c>
      <c r="M2" s="27" t="n">
        <v>45679</v>
      </c>
      <c r="N2" s="67">
        <f>IF(ISBLANK(M2),L2,M2)</f>
        <v/>
      </c>
      <c r="O2" s="68">
        <f>N2-TODAY()</f>
        <v/>
      </c>
      <c r="P2" s="11" t="inlineStr">
        <is>
          <t>No</t>
        </is>
      </c>
      <c r="Q2" s="11" t="inlineStr">
        <is>
          <t>El Coordinador entrega su visión técnica inicial de las obras necesarias. Inicio del proceso regulatorio anual</t>
        </is>
      </c>
      <c r="R2" s="63" t="inlineStr">
        <is>
          <t>Solo monitoreo. Revisar si proponen obras que impacten zonas de interés.</t>
        </is>
      </c>
      <c r="S2" t="inlineStr">
        <is>
          <t>*Inicio de proceso 2025</t>
        </is>
      </c>
    </row>
    <row r="3" ht="79.90000000000001" customHeight="1" thickBot="1">
      <c r="A3" s="65" t="n">
        <v>10</v>
      </c>
      <c r="B3" s="65" t="inlineStr">
        <is>
          <t>Decreto 37</t>
        </is>
      </c>
      <c r="C3" s="26" t="n">
        <v>2025</v>
      </c>
      <c r="D3" s="26" t="inlineStr">
        <is>
          <t>Planificación de la Transmisión</t>
        </is>
      </c>
      <c r="E3" s="26" t="inlineStr">
        <is>
          <t>Convocatoria de interesados en etapa de presentación de propuestas de proyectos de expansión de la Transmisión</t>
        </is>
      </c>
      <c r="F3" s="66" t="inlineStr">
        <is>
          <t>ep_tvaldes@colbun.cl</t>
        </is>
      </c>
      <c r="G3" s="26" t="inlineStr">
        <is>
          <t>CNE</t>
        </is>
      </c>
      <c r="H3" s="26" t="n">
        <v>5</v>
      </c>
      <c r="I3" s="26" t="inlineStr">
        <is>
          <t>Hábiles</t>
        </is>
      </c>
      <c r="J3" s="60" t="n"/>
      <c r="K3" s="27">
        <f>IF(I3="Corridos",H3+K2,WORKDAY(K2,H3,Tabla4[Fecha]))</f>
        <v/>
      </c>
      <c r="L3" s="27">
        <f>IF(I3="Corridos",H3+N2,WORKDAY(N2,H3,Tabla4[Fecha]))</f>
        <v/>
      </c>
      <c r="M3" s="27" t="n"/>
      <c r="N3" s="27">
        <f>IF(ISBLANK(M3),L3,M3)</f>
        <v/>
      </c>
      <c r="O3" s="60">
        <f>N3-TODAY()</f>
        <v/>
      </c>
      <c r="P3" s="11" t="inlineStr">
        <is>
          <t>Si</t>
        </is>
      </c>
      <c r="Q3" s="11" t="inlineStr">
        <is>
          <t>La CNE publica la propuesta del CEN y abre oficialmente la ventanilla para que terceros propongan proyectos distintos.</t>
        </is>
      </c>
      <c r="R3" s="63" t="inlineStr">
        <is>
          <t>Si deseas proponer obras: Inicia preparación de anteproyectos técnicos y económicos</t>
        </is>
      </c>
    </row>
    <row r="4" ht="53.45" customHeight="1" thickBot="1">
      <c r="A4" s="65" t="n">
        <v>11</v>
      </c>
      <c r="B4" s="65" t="inlineStr">
        <is>
          <t>Decreto 37</t>
        </is>
      </c>
      <c r="C4" s="26" t="n">
        <v>2025</v>
      </c>
      <c r="D4" s="26" t="inlineStr">
        <is>
          <t>Planificación de la Transmisión</t>
        </is>
      </c>
      <c r="E4" s="26" t="inlineStr">
        <is>
          <t xml:space="preserve">Presentación de Propuestas de Expansión de la Transmisión </t>
        </is>
      </c>
      <c r="F4" s="66" t="inlineStr">
        <is>
          <t>ep_tvaldes@colbun.cl</t>
        </is>
      </c>
      <c r="G4" s="26" t="inlineStr">
        <is>
          <t>Interasados</t>
        </is>
      </c>
      <c r="H4" s="26" t="n">
        <v>70</v>
      </c>
      <c r="I4" s="26" t="inlineStr">
        <is>
          <t>Corridos</t>
        </is>
      </c>
      <c r="J4" s="60" t="n"/>
      <c r="K4" s="27">
        <f>IF(I4="Corridos",H4+K3,WORKDAY(K3,H4,Tabla4[Fecha]))</f>
        <v/>
      </c>
      <c r="L4" s="27">
        <f>IF(I4="Corridos",H4+N3,WORKDAY(N3,H4,Tabla4[Fecha]))</f>
        <v/>
      </c>
      <c r="M4" s="27" t="n">
        <v>45775</v>
      </c>
      <c r="N4" s="27">
        <f>IF(ISBLANK(M4),L4,M4)</f>
        <v/>
      </c>
      <c r="O4" s="60">
        <f>N4-TODAY()</f>
        <v/>
      </c>
      <c r="P4" s="11" t="inlineStr">
        <is>
          <t>Si</t>
        </is>
      </c>
      <c r="Q4" s="11" t="inlineStr">
        <is>
          <t>Fecha límite para ingresar propuestas de proyectos de expansión a la CNE.</t>
        </is>
      </c>
      <c r="R4" s="63" t="inlineStr">
        <is>
          <t>Debes enviar formulario y carpeta técnica a la CNE antes de esta fecha.</t>
        </is>
      </c>
      <c r="S4" t="inlineStr">
        <is>
          <t>***</t>
        </is>
      </c>
    </row>
    <row r="5" ht="53.45" customHeight="1" thickBot="1">
      <c r="A5" s="71" t="n">
        <v>12</v>
      </c>
      <c r="B5" s="71" t="inlineStr">
        <is>
          <t>Decreto 37</t>
        </is>
      </c>
      <c r="C5" s="72" t="n">
        <v>2025</v>
      </c>
      <c r="D5" s="72" t="inlineStr">
        <is>
          <t>Planificación de la Transmisión</t>
        </is>
      </c>
      <c r="E5" s="72" t="inlineStr">
        <is>
          <t>Publicación de Propuestas en pagina Web</t>
        </is>
      </c>
      <c r="F5" s="73" t="inlineStr">
        <is>
          <t>ep_tvaldes@colbun.cl</t>
        </is>
      </c>
      <c r="G5" s="72" t="inlineStr">
        <is>
          <t>CNE</t>
        </is>
      </c>
      <c r="H5" s="72" t="n">
        <v>10</v>
      </c>
      <c r="I5" s="72" t="inlineStr">
        <is>
          <t>Hábiles</t>
        </is>
      </c>
      <c r="J5" s="74" t="n"/>
      <c r="K5" s="75">
        <f>IF(I5="Corridos",H5+K4,WORKDAY(K4,H5,Tabla4[Fecha]))</f>
        <v/>
      </c>
      <c r="L5" s="75">
        <f>IF(I5="Corridos",H5+N4,WORKDAY(N4,H5,Tabla4[Fecha]))</f>
        <v/>
      </c>
      <c r="M5" s="75" t="n">
        <v>45790</v>
      </c>
      <c r="N5" s="75">
        <f>IF(ISBLANK(M5),L5,M5)</f>
        <v/>
      </c>
      <c r="O5" s="74">
        <f>N5-TODAY()</f>
        <v/>
      </c>
      <c r="P5" s="75" t="inlineStr">
        <is>
          <t>No</t>
        </is>
      </c>
      <c r="Q5" s="75" t="inlineStr">
        <is>
          <t>La CNE hace públicas todas las propuestas recibidas (CEN + Promotores)</t>
        </is>
      </c>
      <c r="R5" s="76" t="inlineStr">
        <is>
          <t>Revisar qué propusieron otros actores o competidores en tus zonas de influencia</t>
        </is>
      </c>
    </row>
    <row r="6" ht="110.45" customHeight="1" thickBot="1">
      <c r="A6" s="65" t="n">
        <v>13</v>
      </c>
      <c r="B6" s="65" t="inlineStr">
        <is>
          <t>Decreto 37</t>
        </is>
      </c>
      <c r="C6" s="26" t="n">
        <v>2025</v>
      </c>
      <c r="D6" s="26" t="inlineStr">
        <is>
          <t>Planificación de la Transmisión</t>
        </is>
      </c>
      <c r="E6" s="26" t="inlineStr">
        <is>
          <t>Complemento a la propuesta de expasión de la Transmisión</t>
        </is>
      </c>
      <c r="F6" s="66" t="inlineStr">
        <is>
          <t>ep_tvaldes@colbun.cl</t>
        </is>
      </c>
      <c r="G6" s="26" t="inlineStr">
        <is>
          <t>Coordinador</t>
        </is>
      </c>
      <c r="H6" s="26" t="n">
        <v>30</v>
      </c>
      <c r="I6" s="26" t="inlineStr">
        <is>
          <t>Hábiles</t>
        </is>
      </c>
      <c r="J6" s="60" t="n"/>
      <c r="K6" s="27">
        <f>IF(I6="Corridos",H6+K4,WORKDAY(K4,H6,Tabla4[Fecha]))</f>
        <v/>
      </c>
      <c r="L6" s="27">
        <f>IF(I6="Corridos",H6+N4,WORKDAY(N4,H6,Tabla4[Fecha]))</f>
        <v/>
      </c>
      <c r="M6" s="27" t="n"/>
      <c r="N6" s="27">
        <f>IF(ISBLANK(M6),L6,M6)</f>
        <v/>
      </c>
      <c r="O6" s="60">
        <f>N6-TODAY()</f>
        <v/>
      </c>
      <c r="P6" s="11" t="inlineStr">
        <is>
          <t>No</t>
        </is>
      </c>
      <c r="Q6" s="11" t="inlineStr">
        <is>
          <t>El Coordinador puede actualizar su propuesta original (de enero) integrando proyectos presentados por terceros o nueva información de demanda.</t>
        </is>
      </c>
      <c r="R6" s="63" t="inlineStr">
        <is>
          <t>Monitoreo: Revisar si el Coordinador acogió o rechazó proyectos de interés en esta actualización.</t>
        </is>
      </c>
      <c r="S6" t="inlineStr">
        <is>
          <t>*No ha pasado</t>
        </is>
      </c>
    </row>
    <row r="7" ht="66.59999999999999" customHeight="1" thickBot="1">
      <c r="A7" s="65" t="n">
        <v>15</v>
      </c>
      <c r="B7" s="65" t="inlineStr">
        <is>
          <t>Decreto 37</t>
        </is>
      </c>
      <c r="C7" s="26" t="n">
        <v>2025</v>
      </c>
      <c r="D7" s="26" t="inlineStr">
        <is>
          <t>Planificación de la Transmisión</t>
        </is>
      </c>
      <c r="E7" s="26" t="inlineStr">
        <is>
          <t>Emisión de Informe técnico preliminar</t>
        </is>
      </c>
      <c r="F7" s="66" t="inlineStr">
        <is>
          <t>ep_tvaldes@colbun.cl</t>
        </is>
      </c>
      <c r="G7" s="26" t="inlineStr">
        <is>
          <t>Comisión</t>
        </is>
      </c>
      <c r="H7" s="26" t="n"/>
      <c r="I7" s="26" t="n"/>
      <c r="J7" s="60" t="n"/>
      <c r="K7" s="27" t="n">
        <v>45839</v>
      </c>
      <c r="L7" s="27" t="n">
        <v>46053</v>
      </c>
      <c r="M7" s="27" t="n">
        <v>46049</v>
      </c>
      <c r="N7" s="27">
        <f>IF(ISBLANK(M7),L7,M7)</f>
        <v/>
      </c>
      <c r="O7" s="60">
        <f>N7-TODAY()</f>
        <v/>
      </c>
      <c r="P7" s="11" t="inlineStr">
        <is>
          <t>Si</t>
        </is>
      </c>
      <c r="Q7" s="11" t="inlineStr">
        <is>
          <t>La CNE publica el primer borrador oficial del Plan. Define qué obras se aprueban preliminarmente y cuáles se rechazan.</t>
        </is>
      </c>
      <c r="R7" s="63" t="inlineStr">
        <is>
          <t>Inicia la cuenta regresiva de 10 días para observaciones</t>
        </is>
      </c>
      <c r="S7" t="inlineStr">
        <is>
          <t>*Dentro del tercer trimestre del año / Se desconoce la fecha téorica</t>
        </is>
      </c>
    </row>
    <row r="8" ht="66.59999999999999" customHeight="1" thickBot="1">
      <c r="A8" s="65" t="n">
        <v>16</v>
      </c>
      <c r="B8" s="65" t="inlineStr">
        <is>
          <t>Decreto 37</t>
        </is>
      </c>
      <c r="C8" s="26" t="n">
        <v>2025</v>
      </c>
      <c r="D8" s="26" t="inlineStr">
        <is>
          <t>Planificación de la Transmisión</t>
        </is>
      </c>
      <c r="E8" s="26" t="inlineStr">
        <is>
          <t xml:space="preserve">Presentación de observaciones del Informe técnico preliminar a la comisión </t>
        </is>
      </c>
      <c r="F8" s="66" t="inlineStr">
        <is>
          <t>ep_tvaldes@colbun.cl</t>
        </is>
      </c>
      <c r="G8" s="26" t="inlineStr">
        <is>
          <t>Comisión</t>
        </is>
      </c>
      <c r="H8" s="26" t="n">
        <v>10</v>
      </c>
      <c r="I8" s="26" t="inlineStr">
        <is>
          <t>Hábiles</t>
        </is>
      </c>
      <c r="J8" s="60" t="n"/>
      <c r="K8" s="27">
        <f>IF(I8="Corridos",H8+K7,WORKDAY(K7,H8,Tabla4[Fecha]))</f>
        <v/>
      </c>
      <c r="L8" s="27">
        <f>IF(I8="Corridos",H8+N7,WORKDAY(N7,H8,Tabla4[Fecha]))</f>
        <v/>
      </c>
      <c r="M8" s="27" t="n"/>
      <c r="N8" s="27">
        <f>IF(ISBLANK(M8),L8,M8)</f>
        <v/>
      </c>
      <c r="O8" s="60">
        <f>N8-TODAY()</f>
        <v/>
      </c>
      <c r="P8" s="11" t="inlineStr">
        <is>
          <t>Si</t>
        </is>
      </c>
      <c r="Q8" s="11" t="inlineStr">
        <is>
          <t>Vencimiento de Plazo para ingresar observaciones formales ante la CNE impugnando el Informe Preliminar.</t>
        </is>
      </c>
      <c r="R8" s="63" t="inlineStr">
        <is>
          <t>Subir observaciones a la plataforma CNE. Si no observas aquí, pierdes derecho a ir al Panel de expertos después.</t>
        </is>
      </c>
    </row>
    <row r="9" ht="66.59999999999999" customHeight="1" thickBot="1">
      <c r="A9" s="65" t="n">
        <v>17</v>
      </c>
      <c r="B9" s="65" t="inlineStr">
        <is>
          <t>Decreto 37</t>
        </is>
      </c>
      <c r="C9" s="26" t="n">
        <v>2025</v>
      </c>
      <c r="D9" s="26" t="inlineStr">
        <is>
          <t>Planificación de la Transmisión</t>
        </is>
      </c>
      <c r="E9" s="26" t="inlineStr">
        <is>
          <t xml:space="preserve">Emisión de Informe técnico Final </t>
        </is>
      </c>
      <c r="F9" s="66" t="inlineStr">
        <is>
          <t>ep_tvaldes@colbun.cl</t>
        </is>
      </c>
      <c r="G9" s="26" t="inlineStr">
        <is>
          <t>Comisión</t>
        </is>
      </c>
      <c r="H9" s="26" t="n">
        <v>30</v>
      </c>
      <c r="I9" s="26" t="inlineStr">
        <is>
          <t>Hábiles</t>
        </is>
      </c>
      <c r="J9" s="60" t="n"/>
      <c r="K9" s="27">
        <f>IF(I9="Corridos",H9+K8,WORKDAY(K8,H9,Tabla4[Fecha]))</f>
        <v/>
      </c>
      <c r="L9" s="27">
        <f>IF(I9="Corridos",H9+N8,WORKDAY(N8,H9,Tabla4[Fecha]))</f>
        <v/>
      </c>
      <c r="M9" s="27" t="n"/>
      <c r="N9" s="27">
        <f>IF(ISBLANK(M9),L9,M9)</f>
        <v/>
      </c>
      <c r="O9" s="60">
        <f>N9-TODAY()</f>
        <v/>
      </c>
      <c r="P9" s="11" t="inlineStr">
        <is>
          <t>No</t>
        </is>
      </c>
      <c r="Q9" s="11" t="inlineStr">
        <is>
          <t>La CNE emite la versión definitiva técnica del Plan, respondiendo (aceptando o rechazando) las observaciones realizadas.</t>
        </is>
      </c>
      <c r="R9" s="63" t="inlineStr">
        <is>
          <t>Verificar si las observaciones realizadas fueron acogidas.</t>
        </is>
      </c>
    </row>
    <row r="10" ht="66.59999999999999" customHeight="1" thickBot="1">
      <c r="A10" s="65" t="n">
        <v>18</v>
      </c>
      <c r="B10" s="65" t="inlineStr">
        <is>
          <t>Decreto 37</t>
        </is>
      </c>
      <c r="C10" s="26" t="n">
        <v>2025</v>
      </c>
      <c r="D10" s="26" t="inlineStr">
        <is>
          <t>Planificación de la Transmisión</t>
        </is>
      </c>
      <c r="E10" s="26" t="inlineStr">
        <is>
          <t>Presentación de discrepancias al Panel de Expertos</t>
        </is>
      </c>
      <c r="F10" s="66" t="inlineStr">
        <is>
          <t>ep_tvaldes@colbun.cl</t>
        </is>
      </c>
      <c r="G10" s="26" t="inlineStr">
        <is>
          <t>Interasados</t>
        </is>
      </c>
      <c r="H10" s="26" t="n">
        <v>15</v>
      </c>
      <c r="I10" s="26" t="inlineStr">
        <is>
          <t>Hábiles</t>
        </is>
      </c>
      <c r="J10" s="60" t="n"/>
      <c r="K10" s="27">
        <f>IF(I10="Corridos",H10+K9,WORKDAY(K9,H10,Tabla4[Fecha]))</f>
        <v/>
      </c>
      <c r="L10" s="27">
        <f>IF(I10="Corridos",H10+N9,WORKDAY(N9,H10,Tabla4[Fecha]))</f>
        <v/>
      </c>
      <c r="M10" s="27" t="n"/>
      <c r="N10" s="27">
        <f>IF(ISBLANK(M10),L10,M10)</f>
        <v/>
      </c>
      <c r="O10" s="60">
        <f>N10-TODAY()</f>
        <v/>
      </c>
      <c r="P10" s="11" t="inlineStr">
        <is>
          <t>Si</t>
        </is>
      </c>
      <c r="Q10" s="11" t="inlineStr">
        <is>
          <t>Plazo límite para apelar ante el Panel de Expertos si persisten desacuerdos con el Informe Final.</t>
        </is>
      </c>
      <c r="R10" s="63" t="inlineStr">
        <is>
          <t>Solo si la respuesta en el ITF no fue satisfactoria. Requiere presentación de escrito legal/técnico al Panel.</t>
        </is>
      </c>
    </row>
    <row r="11" ht="40.15" customHeight="1" thickBot="1">
      <c r="A11" s="65" t="n">
        <v>19</v>
      </c>
      <c r="B11" s="65" t="inlineStr">
        <is>
          <t>Decreto 37</t>
        </is>
      </c>
      <c r="C11" s="26" t="n">
        <v>2025</v>
      </c>
      <c r="D11" s="26" t="inlineStr">
        <is>
          <t>Planificación de la Transmisión</t>
        </is>
      </c>
      <c r="E11" s="26" t="inlineStr">
        <is>
          <t>Convocatoria audiencia pública</t>
        </is>
      </c>
      <c r="F11" s="66" t="inlineStr">
        <is>
          <t>ep_tvaldes@colbun.cl</t>
        </is>
      </c>
      <c r="G11" s="26" t="inlineStr">
        <is>
          <t>Panel de Expertos</t>
        </is>
      </c>
      <c r="H11" s="26" t="n">
        <v>5</v>
      </c>
      <c r="I11" s="26" t="inlineStr">
        <is>
          <t>Hábiles</t>
        </is>
      </c>
      <c r="J11" s="60" t="n"/>
      <c r="K11" s="27">
        <f>IF(I11="Corridos",H11+K10,WORKDAY(K10,H11,Tabla4[Fecha]))</f>
        <v/>
      </c>
      <c r="L11" s="27">
        <f>IF(I11="Corridos",H11+N10,WORKDAY(N10,H11,Tabla4[Fecha]))</f>
        <v/>
      </c>
      <c r="M11" s="27" t="n"/>
      <c r="N11" s="27">
        <f>IF(ISBLANK(M11),L11,M11)</f>
        <v/>
      </c>
      <c r="O11" s="60">
        <f>N11-TODAY()</f>
        <v/>
      </c>
      <c r="P11" s="11" t="inlineStr">
        <is>
          <t>Si</t>
        </is>
      </c>
      <c r="Q11" s="11" t="inlineStr">
        <is>
          <t>El Panel cita oficialmente a las partes. Se fija fecha y hora para los alegatos.</t>
        </is>
      </c>
      <c r="R11" s="63" t="inlineStr">
        <is>
          <t>Confirmar recepción de citación</t>
        </is>
      </c>
    </row>
    <row r="12" ht="53.45" customHeight="1" thickBot="1">
      <c r="A12" s="65" t="n">
        <v>20</v>
      </c>
      <c r="B12" s="65" t="inlineStr">
        <is>
          <t>Decreto 37</t>
        </is>
      </c>
      <c r="C12" s="26" t="n">
        <v>2025</v>
      </c>
      <c r="D12" s="26" t="inlineStr">
        <is>
          <t>Planificación de la Transmisión</t>
        </is>
      </c>
      <c r="E12" s="26" t="inlineStr">
        <is>
          <t>Presentación de nomina de asistentes</t>
        </is>
      </c>
      <c r="F12" s="66" t="inlineStr">
        <is>
          <t>ep_tvaldes@colbun.cl</t>
        </is>
      </c>
      <c r="G12" s="26" t="inlineStr">
        <is>
          <t>Comisión</t>
        </is>
      </c>
      <c r="H12" s="26" t="n">
        <v>3</v>
      </c>
      <c r="I12" s="26" t="inlineStr">
        <is>
          <t>Hábiles</t>
        </is>
      </c>
      <c r="J12" s="60" t="n"/>
      <c r="K12" s="27">
        <f>IF(I12="Corridos",H12+K11,WORKDAY(K11,H12,Tabla4[Fecha]))</f>
        <v/>
      </c>
      <c r="L12" s="27">
        <f>IF(I12="Corridos",H12+N11,WORKDAY(N11,H12,Tabla4[Fecha]))</f>
        <v/>
      </c>
      <c r="M12" s="27" t="n"/>
      <c r="N12" s="27">
        <f>IF(ISBLANK(M12),L12,M12)</f>
        <v/>
      </c>
      <c r="O12" s="60">
        <f>N12-TODAY()</f>
        <v/>
      </c>
      <c r="P12" s="11" t="inlineStr">
        <is>
          <t>Si</t>
        </is>
      </c>
      <c r="Q12" s="11" t="inlineStr">
        <is>
          <t>Plazo administrativo previo a la audiencia para informar al Panel los nombres y RUT de quienes asistirán.</t>
        </is>
      </c>
      <c r="R12" s="63" t="inlineStr">
        <is>
          <t>Enviar correo al secretario del Panel con la lista.</t>
        </is>
      </c>
    </row>
    <row r="13" ht="40.15" customHeight="1" thickBot="1">
      <c r="A13" s="65" t="n"/>
      <c r="B13" s="65" t="inlineStr">
        <is>
          <t>Decreto 37</t>
        </is>
      </c>
      <c r="C13" s="26" t="n">
        <v>2025</v>
      </c>
      <c r="D13" s="26" t="inlineStr">
        <is>
          <t>Planificación de la Transmisión</t>
        </is>
      </c>
      <c r="E13" s="26" t="inlineStr">
        <is>
          <t>Audiencia pública</t>
        </is>
      </c>
      <c r="F13" s="66" t="inlineStr">
        <is>
          <t>ep_tvaldes@colbun.cl</t>
        </is>
      </c>
      <c r="G13" s="26" t="inlineStr">
        <is>
          <t>Comisión</t>
        </is>
      </c>
      <c r="H13" s="26" t="n">
        <v>10</v>
      </c>
      <c r="I13" s="26" t="inlineStr">
        <is>
          <t>Hábiles</t>
        </is>
      </c>
      <c r="J13" s="26" t="inlineStr">
        <is>
          <t>Convocatoria audiencia pública</t>
        </is>
      </c>
      <c r="K13" s="27">
        <f>IF(I13="Corridos",H13+K11,WORKDAY(K11,H13,Tabla4[Fecha]))</f>
        <v/>
      </c>
      <c r="L13" s="27">
        <f>IF(I13="Corridos",H13+N11,WORKDAY(N11,H13,Tabla4[Fecha]))</f>
        <v/>
      </c>
      <c r="M13" s="27" t="n"/>
      <c r="N13" s="27">
        <f>IF(ISBLANK(M13),L13,M13)</f>
        <v/>
      </c>
      <c r="O13" s="60">
        <f>N13-TODAY()</f>
        <v/>
      </c>
      <c r="P13" s="11" t="inlineStr">
        <is>
          <t>Si</t>
        </is>
      </c>
      <c r="Q13" s="11" t="inlineStr">
        <is>
          <t>Sesión oral ante el Panel de Expertos</t>
        </is>
      </c>
      <c r="R13" s="63" t="inlineStr">
        <is>
          <t>Ejecutivos y abogados deben presentarse y exponer.</t>
        </is>
      </c>
    </row>
    <row r="14" ht="66.59999999999999" customHeight="1" thickBot="1">
      <c r="A14" s="65" t="n"/>
      <c r="B14" s="65" t="inlineStr">
        <is>
          <t>Decreto 37</t>
        </is>
      </c>
      <c r="C14" s="26" t="n">
        <v>2025</v>
      </c>
      <c r="D14" s="26" t="inlineStr">
        <is>
          <t>Planificación de la Transmisión</t>
        </is>
      </c>
      <c r="E14" s="26" t="inlineStr">
        <is>
          <t>Dictamen del Panel de Expertos</t>
        </is>
      </c>
      <c r="F14" s="66" t="inlineStr">
        <is>
          <t>ep_tvaldes@colbun.cl</t>
        </is>
      </c>
      <c r="G14" s="26" t="inlineStr">
        <is>
          <t>Comisión</t>
        </is>
      </c>
      <c r="H14" s="26" t="n">
        <v>50</v>
      </c>
      <c r="I14" s="26" t="inlineStr">
        <is>
          <t>Corridos</t>
        </is>
      </c>
      <c r="J14" s="60" t="n"/>
      <c r="K14" s="27">
        <f>IF(I14="Corridos",H14+K13,WORKDAY(K13,H14,Tabla4[Fecha]))</f>
        <v/>
      </c>
      <c r="L14" s="27">
        <f>IF(I14="Corridos",H14+N13,WORKDAY(N13,H14,Tabla4[Fecha]))</f>
        <v/>
      </c>
      <c r="M14" s="27" t="n"/>
      <c r="N14" s="27">
        <f>IF(ISBLANK(M14),L14,M14)</f>
        <v/>
      </c>
      <c r="O14" s="60">
        <f>N14-TODAY()</f>
        <v/>
      </c>
      <c r="P14" s="11" t="inlineStr">
        <is>
          <t>No</t>
        </is>
      </c>
      <c r="Q14" s="11" t="inlineStr">
        <is>
          <t>El Panel emite su fallo definitivo e inapelable. Resuelve si acepta o rechaza las discrepancias presentadas.</t>
        </is>
      </c>
      <c r="R14" s="63" t="inlineStr">
        <is>
          <t>Analizar fallo inmediatamente.</t>
        </is>
      </c>
    </row>
    <row r="15" ht="53.45" customHeight="1" thickBot="1">
      <c r="A15" s="65" t="n"/>
      <c r="B15" s="65" t="inlineStr">
        <is>
          <t>Decreto 37</t>
        </is>
      </c>
      <c r="C15" s="26" t="n">
        <v>2025</v>
      </c>
      <c r="D15" s="26" t="inlineStr">
        <is>
          <t>Planificación de la Transmisión</t>
        </is>
      </c>
      <c r="E15" s="26" t="inlineStr">
        <is>
          <t>Remisión de Informe técnico Definitivo</t>
        </is>
      </c>
      <c r="F15" s="66" t="inlineStr">
        <is>
          <t>ep_tvaldes@colbun.cl</t>
        </is>
      </c>
      <c r="G15" s="26" t="inlineStr">
        <is>
          <t>Comisión</t>
        </is>
      </c>
      <c r="H15" s="26" t="n">
        <v>15</v>
      </c>
      <c r="I15" s="26" t="inlineStr">
        <is>
          <t>Hábiles</t>
        </is>
      </c>
      <c r="J15" s="60" t="n"/>
      <c r="K15" s="27">
        <f>IF(I15="Corridos",H15+K14,WORKDAY(K14,H15,Tabla4[Fecha]))</f>
        <v/>
      </c>
      <c r="L15" s="27">
        <f>IF(I15="Corridos",H15+N14,WORKDAY(N14,H15,Tabla4[Fecha]))</f>
        <v/>
      </c>
      <c r="M15" s="27" t="n"/>
      <c r="N15" s="27">
        <f>IF(ISBLANK(M15),L15,M15)</f>
        <v/>
      </c>
      <c r="O15" s="60">
        <f>N15-TODAY()</f>
        <v/>
      </c>
      <c r="P15" s="11" t="inlineStr">
        <is>
          <t>No</t>
        </is>
      </c>
      <c r="Q15" s="11" t="inlineStr">
        <is>
          <t>La CNE ajusta el plan según lo ordenado por el Panel y envía la versión final consolidada al Ministerio.</t>
        </is>
      </c>
      <c r="R15" s="63" t="inlineStr">
        <is>
          <t>Marca el fin del trabajo de la CNE y el pase al Ministerio.</t>
        </is>
      </c>
    </row>
    <row r="16" ht="66.59999999999999" customHeight="1" thickBot="1">
      <c r="A16" s="65" t="n"/>
      <c r="B16" s="65" t="inlineStr">
        <is>
          <t>Decreto 37</t>
        </is>
      </c>
      <c r="C16" s="26" t="n">
        <v>2025</v>
      </c>
      <c r="D16" s="26" t="inlineStr">
        <is>
          <t>Planificación de la Transmisión</t>
        </is>
      </c>
      <c r="E16" s="26" t="inlineStr">
        <is>
          <t>Decreto externo  de Informe Técnico Definitivo</t>
        </is>
      </c>
      <c r="F16" s="66" t="inlineStr">
        <is>
          <t>ep_tvaldes@colbun.cl</t>
        </is>
      </c>
      <c r="G16" s="26" t="inlineStr">
        <is>
          <t>Ministerio de Energía</t>
        </is>
      </c>
      <c r="H16" s="26" t="n">
        <v>15</v>
      </c>
      <c r="I16" s="26" t="inlineStr">
        <is>
          <t>Hábiles</t>
        </is>
      </c>
      <c r="J16" s="60" t="n"/>
      <c r="K16" s="27">
        <f>IF(I16="Corridos",H16+K15,WORKDAY(K15,H16,Tabla4[Fecha]))</f>
        <v/>
      </c>
      <c r="L16" s="27">
        <f>IF(I16="Corridos",H16+N15,WORKDAY(N15,H16,Tabla4[Fecha]))</f>
        <v/>
      </c>
      <c r="M16" s="27" t="n"/>
      <c r="N16" s="27">
        <f>IF(ISBLANK(M16),L16,M16)</f>
        <v/>
      </c>
      <c r="O16" s="60">
        <f>N16-TODAY()</f>
        <v/>
      </c>
      <c r="P16" s="11" t="inlineStr">
        <is>
          <t>No</t>
        </is>
      </c>
      <c r="Q16" s="11" t="inlineStr">
        <is>
          <t>El Ministerio publica el Decreto en el Diario Oficial. Nacen legalmente las obras y comienzan a correr los plazos de licitación.</t>
        </is>
      </c>
      <c r="R16" s="63" t="inlineStr">
        <is>
          <t>Descargar Decreto. Revisar cronograma de licitaciones.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27"/>
  <sheetViews>
    <sheetView tabSelected="1" zoomScale="67" zoomScaleNormal="55" workbookViewId="0">
      <pane ySplit="1" topLeftCell="A16" activePane="bottomLeft" state="frozen"/>
      <selection pane="bottomLeft" activeCell="X20" sqref="X20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18.42578125" customWidth="1" min="5" max="5"/>
    <col width="21.5703125" bestFit="1" customWidth="1" min="6" max="6"/>
    <col width="19.28515625" bestFit="1" customWidth="1" min="7" max="7"/>
    <col width="15.28515625" bestFit="1" customWidth="1" min="8" max="8"/>
    <col width="15.7109375" customWidth="1" min="9" max="10"/>
    <col width="17.140625" bestFit="1" customWidth="1" min="11" max="11"/>
    <col width="19.28515625" customWidth="1" min="12" max="12"/>
    <col width="23" customWidth="1" min="13" max="13"/>
    <col width="16.140625" customWidth="1" min="14" max="14"/>
    <col width="16.7109375" customWidth="1" min="15" max="18"/>
    <col width="18.5703125" bestFit="1" customWidth="1" min="20" max="20"/>
    <col width="14" bestFit="1" customWidth="1" min="21" max="21"/>
    <col width="10.140625" bestFit="1" customWidth="1" min="22" max="22"/>
    <col width="12.85546875" bestFit="1" customWidth="1" min="23" max="23"/>
    <col width="19" bestFit="1" customWidth="1" min="24" max="24"/>
    <col width="17.28515625" bestFit="1" customWidth="1" min="25" max="25"/>
    <col width="14.28515625" bestFit="1" customWidth="1" min="26" max="26"/>
    <col width="17.28515625" bestFit="1" customWidth="1" min="27" max="27"/>
  </cols>
  <sheetData>
    <row r="1" ht="29.45" customHeight="1" thickBot="1">
      <c r="A1" s="50" t="inlineStr">
        <is>
          <t>ID</t>
        </is>
      </c>
      <c r="B1" s="5" t="inlineStr">
        <is>
          <t>Norma</t>
        </is>
      </c>
      <c r="C1" s="5" t="inlineStr">
        <is>
          <t>Periodo</t>
        </is>
      </c>
      <c r="D1" s="5" t="inlineStr">
        <is>
          <t>Proceso</t>
        </is>
      </c>
      <c r="E1" s="5" t="inlineStr">
        <is>
          <t>Hito / Etapa</t>
        </is>
      </c>
      <c r="F1" s="5" t="inlineStr">
        <is>
          <t>Responsable</t>
        </is>
      </c>
      <c r="G1" s="5" t="inlineStr">
        <is>
          <t>Agente</t>
        </is>
      </c>
      <c r="H1" s="5" t="inlineStr">
        <is>
          <t>Plazo</t>
        </is>
      </c>
      <c r="I1" s="5" t="inlineStr">
        <is>
          <t>Tipo_Dia</t>
        </is>
      </c>
      <c r="J1" s="5" t="inlineStr">
        <is>
          <t>Gatillo</t>
        </is>
      </c>
      <c r="K1" s="5" t="inlineStr">
        <is>
          <t>Fecha_teórica</t>
        </is>
      </c>
      <c r="L1" s="5" t="inlineStr">
        <is>
          <t>Fecha_Proyectada</t>
        </is>
      </c>
      <c r="M1" s="5" t="inlineStr">
        <is>
          <t>Fecha_Real_Manual</t>
        </is>
      </c>
      <c r="N1" s="39" t="inlineStr">
        <is>
          <t>Fecha_Vigente</t>
        </is>
      </c>
      <c r="O1" s="44" t="inlineStr">
        <is>
          <t>Dias_Restantes</t>
        </is>
      </c>
      <c r="P1" s="38" t="inlineStr">
        <is>
          <t>Respuesta/Interactua</t>
        </is>
      </c>
      <c r="Q1" s="38" t="inlineStr">
        <is>
          <t>Descripción</t>
        </is>
      </c>
      <c r="R1" s="38" t="inlineStr">
        <is>
          <t>¿Ligado a Diario Oficial?</t>
        </is>
      </c>
    </row>
    <row r="2" ht="106.15" customHeight="1" thickBot="1">
      <c r="A2" s="50" t="n">
        <v>0</v>
      </c>
      <c r="B2" s="14" t="inlineStr">
        <is>
          <t>Coordinación y Operación del SEN</t>
        </is>
      </c>
      <c r="C2" s="14" t="n">
        <v>2026</v>
      </c>
      <c r="D2" s="14" t="inlineStr">
        <is>
          <t>Disposiciones Transitorias</t>
        </is>
      </c>
      <c r="E2" s="14" t="inlineStr">
        <is>
          <t>Publicación en el Diario Oficial</t>
        </is>
      </c>
      <c r="F2" s="14" t="inlineStr">
        <is>
          <t>ep_tvaldes@colbun.cl</t>
        </is>
      </c>
      <c r="G2" s="14" t="inlineStr">
        <is>
          <t>Ministerio de Energía</t>
        </is>
      </c>
      <c r="H2" s="14" t="n"/>
      <c r="I2" s="14" t="inlineStr">
        <is>
          <t>Inicio</t>
        </is>
      </c>
      <c r="J2" s="14" t="n"/>
      <c r="K2" s="15" t="n">
        <v>45749</v>
      </c>
      <c r="L2" s="15" t="n">
        <v>45749</v>
      </c>
      <c r="M2" s="15" t="n">
        <v>45749</v>
      </c>
      <c r="N2" s="40">
        <f>IF(ISBLANK(M2),L2,M2)</f>
        <v/>
      </c>
      <c r="O2" s="48">
        <f>N2-TODAY()</f>
        <v/>
      </c>
      <c r="P2" s="62" t="inlineStr">
        <is>
          <t>No</t>
        </is>
      </c>
      <c r="Q2" s="62" t="inlineStr">
        <is>
          <t>Inicio de la vigencia de la norma y el comienzo del conteo para la mayoría de los plazos transitorios.</t>
        </is>
      </c>
      <c r="R2" s="64" t="inlineStr">
        <is>
          <t>Si</t>
        </is>
      </c>
    </row>
    <row r="3" ht="106.15" customHeight="1" thickBot="1">
      <c r="A3" s="50" t="n">
        <v>1</v>
      </c>
      <c r="B3" s="14" t="inlineStr">
        <is>
          <t>Coordinación y Operación del SEN</t>
        </is>
      </c>
      <c r="C3" s="14" t="n">
        <v>2026</v>
      </c>
      <c r="D3" s="14" t="inlineStr">
        <is>
          <t>Disposiciones Transitorias</t>
        </is>
      </c>
      <c r="E3" s="14" t="inlineStr">
        <is>
          <t>Minuta sobre la Base de la Programación</t>
        </is>
      </c>
      <c r="F3" s="14" t="inlineStr">
        <is>
          <t>ep_tvaldes@colbun.cl</t>
        </is>
      </c>
      <c r="G3" s="14" t="inlineStr">
        <is>
          <t>Coordinador</t>
        </is>
      </c>
      <c r="H3" s="14" t="n">
        <v>30</v>
      </c>
      <c r="I3" s="14" t="inlineStr">
        <is>
          <t>Corridos</t>
        </is>
      </c>
      <c r="J3" s="14" t="n"/>
      <c r="K3" s="15">
        <f>IF(I3="Corridos",H3+K2,WORKDAY(K2,H3,Tabla4[Fecha]))</f>
        <v/>
      </c>
      <c r="L3" s="15">
        <f>IF(I3="Corridos",H3+N2,WORKDAY(N2,H3,Tabla4[Fecha]))</f>
        <v/>
      </c>
      <c r="M3" s="15" t="n"/>
      <c r="N3" s="40">
        <f>IF(ISBLANK(M3),L3,M3)</f>
        <v/>
      </c>
      <c r="O3" s="48">
        <f>N3-TODAY()</f>
        <v/>
      </c>
      <c r="P3" s="62" t="inlineStr">
        <is>
          <t>No</t>
        </is>
      </c>
      <c r="Q3" s="62" t="inlineStr">
        <is>
          <t>El Coordinador publicará un documento explicando cómo se relacionan los archivos técnicos de la Base de Programación.</t>
        </is>
      </c>
      <c r="R3" s="64" t="inlineStr">
        <is>
          <t>Si</t>
        </is>
      </c>
      <c r="S3" s="90" t="inlineStr">
        <is>
          <t>*No se sabe</t>
        </is>
      </c>
    </row>
    <row r="4" ht="132.6" customHeight="1" thickBot="1">
      <c r="A4" s="50" t="n">
        <v>2</v>
      </c>
      <c r="B4" s="14" t="inlineStr">
        <is>
          <t>Coordinación y Operación del SEN</t>
        </is>
      </c>
      <c r="C4" s="14" t="n">
        <v>2026</v>
      </c>
      <c r="D4" s="14" t="inlineStr">
        <is>
          <t>Disposiciones Transitorias</t>
        </is>
      </c>
      <c r="E4" s="14" t="inlineStr">
        <is>
          <t>Resumen Ejecutivo diario de la operación</t>
        </is>
      </c>
      <c r="F4" s="14" t="inlineStr">
        <is>
          <t>ep_tvaldes@colbun.cl</t>
        </is>
      </c>
      <c r="G4" s="14" t="inlineStr">
        <is>
          <t>Coordinador</t>
        </is>
      </c>
      <c r="H4" s="14" t="n">
        <v>90</v>
      </c>
      <c r="I4" s="14" t="inlineStr">
        <is>
          <t>Corridos</t>
        </is>
      </c>
      <c r="J4" s="14" t="n"/>
      <c r="K4" s="15">
        <f>IF(I4="Corridos",H4+K2,WORKDAY(K2,H4,Tabla4[Fecha]))</f>
        <v/>
      </c>
      <c r="L4" s="15">
        <f>IF(I4="Corridos",H4+N2,WORKDAY(N2,H4,Tabla4[Fecha]))</f>
        <v/>
      </c>
      <c r="M4" s="15" t="n"/>
      <c r="N4" s="40">
        <f>IF(ISBLANK(M4),L4,M4)</f>
        <v/>
      </c>
      <c r="O4" s="48">
        <f>N4-TODAY()</f>
        <v/>
      </c>
      <c r="P4" s="62" t="inlineStr">
        <is>
          <t>No</t>
        </is>
      </c>
      <c r="Q4" s="62" t="inlineStr">
        <is>
          <t>El Coordinador implementará la publicación diaria de un resumen con los principales resultados operativos (generación, costos, cotas).</t>
        </is>
      </c>
      <c r="R4" s="64" t="inlineStr">
        <is>
          <t>Si</t>
        </is>
      </c>
      <c r="S4" s="90" t="inlineStr">
        <is>
          <t>*No se sabe</t>
        </is>
      </c>
    </row>
    <row r="5" ht="119.45" customHeight="1" thickBot="1">
      <c r="A5" s="50" t="n">
        <v>3</v>
      </c>
      <c r="B5" s="14" t="inlineStr">
        <is>
          <t>Coordinación y Operación del SEN</t>
        </is>
      </c>
      <c r="C5" s="14" t="n">
        <v>2026</v>
      </c>
      <c r="D5" s="14" t="inlineStr">
        <is>
          <t>Disposiciones Transitorias</t>
        </is>
      </c>
      <c r="E5" s="14" t="inlineStr">
        <is>
          <t>Primer Informe Mensual de la Programación de la Operación</t>
        </is>
      </c>
      <c r="F5" s="14" t="inlineStr">
        <is>
          <t>ep_tvaldes@colbun.cl</t>
        </is>
      </c>
      <c r="G5" s="14" t="inlineStr">
        <is>
          <t>Coordinador</t>
        </is>
      </c>
      <c r="H5" s="14" t="n"/>
      <c r="I5" s="14" t="inlineStr">
        <is>
          <t>Mensual</t>
        </is>
      </c>
      <c r="J5" s="14" t="n"/>
      <c r="K5" s="15" t="n">
        <v>45839</v>
      </c>
      <c r="L5" s="15" t="n">
        <v>45839</v>
      </c>
      <c r="M5" s="15" t="n"/>
      <c r="N5" s="40">
        <f>IF(ISBLANK(M5),L5,M5)</f>
        <v/>
      </c>
      <c r="O5" s="48">
        <f>N5-TODAY()</f>
        <v/>
      </c>
      <c r="P5" s="62" t="inlineStr">
        <is>
          <t>No</t>
        </is>
      </c>
      <c r="Q5" s="62" t="inlineStr">
        <is>
          <t>El Coordinador publicará el primer reporte mensual con los antecedentes, resultados y análisis de la programación operativa.</t>
        </is>
      </c>
      <c r="R5" s="64" t="inlineStr">
        <is>
          <t>No</t>
        </is>
      </c>
      <c r="S5" s="90" t="inlineStr">
        <is>
          <t>*Buscar</t>
        </is>
      </c>
    </row>
    <row r="6" ht="51.6" customHeight="1" thickBot="1">
      <c r="A6" s="50" t="n">
        <v>4</v>
      </c>
      <c r="B6" s="14" t="inlineStr">
        <is>
          <t>Coordinación y Operación del SEN</t>
        </is>
      </c>
      <c r="C6" s="14" t="n">
        <v>2026</v>
      </c>
      <c r="D6" s="14" t="inlineStr">
        <is>
          <t>Disposiciones Transitorias</t>
        </is>
      </c>
      <c r="E6" s="14" t="inlineStr">
        <is>
          <t>Publicación de la primera etapa PLP</t>
        </is>
      </c>
      <c r="F6" s="14" t="inlineStr">
        <is>
          <t>ep_tvaldes@colbun.cl</t>
        </is>
      </c>
      <c r="G6" s="14" t="inlineStr">
        <is>
          <t>Coordinador</t>
        </is>
      </c>
      <c r="H6" s="14" t="n"/>
      <c r="I6" s="14" t="inlineStr">
        <is>
          <t>Fijo</t>
        </is>
      </c>
      <c r="J6" s="14" t="n"/>
      <c r="K6" s="15" t="n">
        <v>45884</v>
      </c>
      <c r="L6" s="15" t="n">
        <v>45884</v>
      </c>
      <c r="M6" s="15" t="n"/>
      <c r="N6" s="40">
        <f>IF(ISBLANK(M6),L6,M6)</f>
        <v/>
      </c>
      <c r="O6" s="48">
        <f>N6-TODAY()</f>
        <v/>
      </c>
      <c r="P6" s="62" t="inlineStr">
        <is>
          <t>No</t>
        </is>
      </c>
      <c r="Q6" s="62" t="inlineStr">
        <is>
          <t>El Coordinador debe iniciar la modelación de la primera etapa de Programación de Largo Plazo (PLP).</t>
        </is>
      </c>
      <c r="R6" s="64" t="inlineStr">
        <is>
          <t>No</t>
        </is>
      </c>
    </row>
    <row r="7" ht="132.6" customHeight="1" thickBot="1">
      <c r="A7" s="50" t="n">
        <v>7</v>
      </c>
      <c r="B7" s="14" t="inlineStr">
        <is>
          <t>Coordinación y Operación del SEN</t>
        </is>
      </c>
      <c r="C7" s="14" t="n">
        <v>2026</v>
      </c>
      <c r="D7" s="14" t="inlineStr">
        <is>
          <t>Disposiciones Transitorias</t>
        </is>
      </c>
      <c r="E7" s="14" t="inlineStr">
        <is>
          <t>Primer Reporte Hidrológico</t>
        </is>
      </c>
      <c r="F7" s="14" t="inlineStr">
        <is>
          <t>ep_tvaldes@colbun.cl</t>
        </is>
      </c>
      <c r="G7" s="14" t="inlineStr">
        <is>
          <t>Coordinados</t>
        </is>
      </c>
      <c r="H7" s="14" t="n"/>
      <c r="I7" s="14" t="inlineStr">
        <is>
          <t>Fijo</t>
        </is>
      </c>
      <c r="J7" s="14" t="n"/>
      <c r="K7" s="15" t="n"/>
      <c r="L7" s="15" t="n">
        <v>45920</v>
      </c>
      <c r="M7" s="15" t="n"/>
      <c r="N7" s="40">
        <f>IF(ISBLANK(M7),L7,M7)</f>
        <v/>
      </c>
      <c r="O7" s="48">
        <f>N7-TODAY()</f>
        <v/>
      </c>
      <c r="P7" s="62" t="inlineStr">
        <is>
          <t>Si</t>
        </is>
      </c>
      <c r="Q7" s="62" t="inlineStr">
        <is>
          <t>Las empresas hidroeléctricas deben entregar la estadística histórica de caudales (desde 1960). Plazo extendido excepcionalmente a septiembre.</t>
        </is>
      </c>
      <c r="R7" s="64" t="inlineStr">
        <is>
          <t>No</t>
        </is>
      </c>
    </row>
    <row r="8" ht="119.45" customHeight="1" thickBot="1">
      <c r="A8" s="50" t="n">
        <v>8</v>
      </c>
      <c r="B8" s="14" t="inlineStr">
        <is>
          <t>Coordinación y Operación del SEN</t>
        </is>
      </c>
      <c r="C8" s="14" t="n">
        <v>2026</v>
      </c>
      <c r="D8" s="14" t="inlineStr">
        <is>
          <t>Disposiciones Transitorias</t>
        </is>
      </c>
      <c r="E8" s="14" t="inlineStr">
        <is>
          <t>Informe de Configuración del parque futuro de las instalaciones del SEN</t>
        </is>
      </c>
      <c r="F8" s="14" t="inlineStr">
        <is>
          <t>ep_tvaldes@colbun.cl</t>
        </is>
      </c>
      <c r="G8" s="14" t="inlineStr">
        <is>
          <t>Coordinador</t>
        </is>
      </c>
      <c r="H8" s="14" t="n">
        <v>180</v>
      </c>
      <c r="I8" s="14" t="inlineStr">
        <is>
          <t>Corridos</t>
        </is>
      </c>
      <c r="J8" s="14" t="n"/>
      <c r="K8" s="15">
        <f>IF(I8="Corridos",H8+K2,WORKDAY(K2,H8,Tabla4[Fecha]))</f>
        <v/>
      </c>
      <c r="L8" s="15">
        <f>IF(I8="Corridos",H8+N2,WORKDAY(N2,H8,Tabla4[Fecha]))</f>
        <v/>
      </c>
      <c r="M8" s="15" t="n"/>
      <c r="N8" s="40">
        <f>IF(ISBLANK(M8),L8,M8)</f>
        <v/>
      </c>
      <c r="O8" s="48">
        <f>N8-TODAY()</f>
        <v/>
      </c>
      <c r="P8" s="62" t="inlineStr">
        <is>
          <t>No</t>
        </is>
      </c>
      <c r="Q8" s="62" t="inlineStr">
        <is>
          <t>El Coordinador publicará el informe técnico detallando la configuración proyectada de las instalaciones futuras del sistema.</t>
        </is>
      </c>
      <c r="R8" s="64" t="inlineStr">
        <is>
          <t>Si</t>
        </is>
      </c>
    </row>
    <row r="9" ht="145.9" customHeight="1" thickBot="1">
      <c r="A9" s="50" t="n">
        <v>9</v>
      </c>
      <c r="B9" s="14" t="inlineStr">
        <is>
          <t>Coordinación y Operación del SEN</t>
        </is>
      </c>
      <c r="C9" s="14" t="n">
        <v>2026</v>
      </c>
      <c r="D9" s="14" t="inlineStr">
        <is>
          <t>Disposiciones Transitorias</t>
        </is>
      </c>
      <c r="E9" s="14" t="inlineStr">
        <is>
          <t>Primer Pronósitco de Generación</t>
        </is>
      </c>
      <c r="F9" s="14" t="inlineStr">
        <is>
          <t>ep_tvaldes@colbun.cl</t>
        </is>
      </c>
      <c r="G9" s="14" t="inlineStr">
        <is>
          <t>Coordinados</t>
        </is>
      </c>
      <c r="H9" s="14" t="n">
        <v>180</v>
      </c>
      <c r="I9" s="14" t="inlineStr">
        <is>
          <t>Corridos</t>
        </is>
      </c>
      <c r="J9" s="14" t="n"/>
      <c r="K9" s="15">
        <f>IF(I9="Corridos",H9+$K$2,WORKDAY($K$2,H9,Tabla4[Fecha]))</f>
        <v/>
      </c>
      <c r="L9" s="15">
        <f>IF(I9="Corridos",H9+N2,WORKDAY(N2,H9,Tabla4[Fecha]))</f>
        <v/>
      </c>
      <c r="M9" s="15" t="n"/>
      <c r="N9" s="40">
        <f>IF(ISBLANK(M9),L9,M9)</f>
        <v/>
      </c>
      <c r="O9" s="48">
        <f>N9-TODAY()</f>
        <v/>
      </c>
      <c r="P9" s="62" t="inlineStr">
        <is>
          <t>Si</t>
        </is>
      </c>
      <c r="Q9" s="62" t="inlineStr">
        <is>
          <t>Las empresas renovables (eólicas/solares) deben comenzar a enviar sus pronósticos de generación cumpliendo los nuevos estándares de la norma.</t>
        </is>
      </c>
      <c r="R9" s="64" t="inlineStr">
        <is>
          <t>Si</t>
        </is>
      </c>
    </row>
    <row r="10" ht="132.6" customHeight="1" thickBot="1">
      <c r="A10" s="65" t="n">
        <v>10</v>
      </c>
      <c r="B10" s="26" t="inlineStr">
        <is>
          <t>Coordinación y Operación del SEN</t>
        </is>
      </c>
      <c r="C10" s="26" t="n">
        <v>2026</v>
      </c>
      <c r="D10" s="26" t="inlineStr">
        <is>
          <t>Disposiciones Transitorias</t>
        </is>
      </c>
      <c r="E10" s="26" t="inlineStr">
        <is>
          <t>Habilitación de las herramientas para las comunicaciones del Pronóstico de Generación</t>
        </is>
      </c>
      <c r="F10" s="66" t="inlineStr">
        <is>
          <t>ep_tvaldes@colbun.cl</t>
        </is>
      </c>
      <c r="G10" s="26" t="inlineStr">
        <is>
          <t>Coordinador</t>
        </is>
      </c>
      <c r="H10" s="26" t="n">
        <v>180</v>
      </c>
      <c r="I10" s="26" t="inlineStr">
        <is>
          <t>Corridos</t>
        </is>
      </c>
      <c r="J10" s="26" t="n"/>
      <c r="K10" s="27">
        <f>IF(I10="Corridos",H10+$K$2,WORKDAY($K$2,H10,Tabla4[Fecha]))</f>
        <v/>
      </c>
      <c r="L10" s="27">
        <f>IF(I10="Corridos",H10+N2,WORKDAY(N2,H10,Tabla4[Fecha]))</f>
        <v/>
      </c>
      <c r="M10" s="27" t="n"/>
      <c r="N10" s="67">
        <f>IF(ISBLANK(M10),L10,M10)</f>
        <v/>
      </c>
      <c r="O10" s="68">
        <f>N10-TODAY()</f>
        <v/>
      </c>
      <c r="P10" s="27" t="inlineStr">
        <is>
          <t>No</t>
        </is>
      </c>
      <c r="Q10" s="27" t="inlineStr">
        <is>
          <t>El Coordinador habilitará los sistemas informáticos necesarios para que las empresas puedan enviar sus pronósticos y programas de excedentes.</t>
        </is>
      </c>
      <c r="R10" s="69" t="inlineStr">
        <is>
          <t>Si</t>
        </is>
      </c>
      <c r="S10" t="inlineStr">
        <is>
          <t>*Conjunto del Artículo 3-10</t>
        </is>
      </c>
    </row>
    <row r="11" ht="121.9" customHeight="1" thickBot="1">
      <c r="A11" s="65" t="n">
        <v>10</v>
      </c>
      <c r="B11" s="26" t="inlineStr">
        <is>
          <t>Coordinación y Operación del SEN</t>
        </is>
      </c>
      <c r="C11" s="26" t="n">
        <v>2026</v>
      </c>
      <c r="D11" s="26" t="inlineStr">
        <is>
          <t>Disposiciones Transitorias</t>
        </is>
      </c>
      <c r="E11" s="26" t="inlineStr">
        <is>
          <t>Presentación de Programa de Excedentes de Generación</t>
        </is>
      </c>
      <c r="F11" s="66" t="inlineStr">
        <is>
          <t>ep_tvaldes@colbun.cl</t>
        </is>
      </c>
      <c r="G11" s="26" t="inlineStr">
        <is>
          <t>Coordinador</t>
        </is>
      </c>
      <c r="H11" s="26" t="n">
        <v>180</v>
      </c>
      <c r="I11" s="26" t="inlineStr">
        <is>
          <t>Corridos</t>
        </is>
      </c>
      <c r="J11" s="26" t="n"/>
      <c r="K11" s="27">
        <f>IF(I11="Corridos",H11+$K$2,WORKDAY($K$2,H11,Tabla4[Fecha]))</f>
        <v/>
      </c>
      <c r="L11" s="27">
        <f>IF(I11="Corridos",H11+N2,WORKDAY(N2,H11,Tabla4[Fecha]))</f>
        <v/>
      </c>
      <c r="M11" s="27" t="n"/>
      <c r="N11" s="27">
        <f>IF(ISBLANK(M11),L11,M11)</f>
        <v/>
      </c>
      <c r="O11" s="60">
        <f>N11-TODAY()</f>
        <v/>
      </c>
      <c r="P11" s="27" t="inlineStr">
        <is>
          <t>No</t>
        </is>
      </c>
      <c r="Q11" s="27" t="n"/>
      <c r="R11" s="69" t="inlineStr">
        <is>
          <t>Si</t>
        </is>
      </c>
    </row>
    <row r="12" ht="145.15" customHeight="1" thickBot="1">
      <c r="A12" s="71" t="n">
        <v>11</v>
      </c>
      <c r="B12" s="14" t="inlineStr">
        <is>
          <t>Coordinación y Operación del SEN</t>
        </is>
      </c>
      <c r="C12" s="14" t="n">
        <v>2026</v>
      </c>
      <c r="D12" s="14" t="inlineStr">
        <is>
          <t>Disposiciones Transitorias</t>
        </is>
      </c>
      <c r="E12" s="14" t="inlineStr">
        <is>
          <t>Primer Cumplimiento Programa de Excedentes de Generación</t>
        </is>
      </c>
      <c r="F12" s="59" t="inlineStr">
        <is>
          <t>ep_tvaldes@colbun.cl</t>
        </is>
      </c>
      <c r="G12" s="14" t="inlineStr">
        <is>
          <t>Coordinados</t>
        </is>
      </c>
      <c r="H12" s="14" t="n">
        <v>180</v>
      </c>
      <c r="I12" s="14" t="inlineStr">
        <is>
          <t>Corridos</t>
        </is>
      </c>
      <c r="J12" s="14" t="inlineStr">
        <is>
          <t>Habilitación de las herramientas para las comunicaciones del Pronóstico de Generación</t>
        </is>
      </c>
      <c r="K12" s="15">
        <f>IF(I12="Corridos",H12+K10,WORKDAY(K10,H12,Tabla4[Fecha]))</f>
        <v/>
      </c>
      <c r="L12" s="15">
        <f>IF(I12="Corridos",H12+N10,WORKDAY(N10,H12,Tabla4[Fecha]))</f>
        <v/>
      </c>
      <c r="M12" s="15" t="n"/>
      <c r="N12" s="40">
        <f>IF(ISBLANK(M12),L12,M12)</f>
        <v/>
      </c>
      <c r="O12" s="47">
        <f>N12-TODAY()</f>
        <v/>
      </c>
      <c r="P12" s="11" t="inlineStr">
        <is>
          <t>Si</t>
        </is>
      </c>
      <c r="Q12" s="11" t="inlineStr">
        <is>
          <t>Plazo límite para que los Autoproductores envíen su primer Programa de Excedentes utilizando la nueva herramienta habilitada.</t>
        </is>
      </c>
      <c r="R12" s="63" t="inlineStr">
        <is>
          <t>No</t>
        </is>
      </c>
      <c r="S12" t="inlineStr">
        <is>
          <t>* Nuevos procesos</t>
        </is>
      </c>
    </row>
    <row r="13" ht="147" customHeight="1" thickBot="1">
      <c r="A13" s="51" t="n">
        <v>12</v>
      </c>
      <c r="B13" s="14" t="inlineStr">
        <is>
          <t>Coordinación y Operación del SEN</t>
        </is>
      </c>
      <c r="C13" s="14" t="n">
        <v>2026</v>
      </c>
      <c r="D13" s="14" t="inlineStr">
        <is>
          <t>Disposiciones Transitorias</t>
        </is>
      </c>
      <c r="E13" s="14" t="inlineStr">
        <is>
          <t>Entrega del Pronóstico de Generación de los coordinados con Autodespacho</t>
        </is>
      </c>
      <c r="F13" s="59" t="inlineStr">
        <is>
          <t>ep_tvaldes@colbun.cl</t>
        </is>
      </c>
      <c r="G13" s="14" t="inlineStr">
        <is>
          <t>Coordinados</t>
        </is>
      </c>
      <c r="H13" s="14" t="n">
        <v>180</v>
      </c>
      <c r="I13" s="14" t="inlineStr">
        <is>
          <t>Corridos</t>
        </is>
      </c>
      <c r="J13" s="14" t="inlineStr">
        <is>
          <t>Habilitación de las herramientas para las comunicaciones del Pronóstico de Generación</t>
        </is>
      </c>
      <c r="K13" s="15">
        <f>IF(I13="Corridos",H13+K10,WORKDAY(K10,H13,Tabla4[Fecha]))</f>
        <v/>
      </c>
      <c r="L13" s="15">
        <f>IF(I13="Corridos",H13+N10,WORKDAY(N10,H13,Tabla4[Fecha]))</f>
        <v/>
      </c>
      <c r="M13" s="15" t="n"/>
      <c r="N13" s="40">
        <f>IF(ISBLANK(M13),L13,M13)</f>
        <v/>
      </c>
      <c r="O13" s="47">
        <f>N13-TODAY()</f>
        <v/>
      </c>
      <c r="P13" s="11" t="inlineStr">
        <is>
          <t>Si</t>
        </is>
      </c>
      <c r="Q13" s="11" t="inlineStr">
        <is>
          <t>Plazo límite para que los Coordinados con régimen de Autodespacho (PMG/Autoproductores) envíen su primer Pronóstico de Generación.</t>
        </is>
      </c>
      <c r="R13" s="63" t="inlineStr">
        <is>
          <t>No</t>
        </is>
      </c>
      <c r="S13" t="inlineStr">
        <is>
          <t>**</t>
        </is>
      </c>
    </row>
    <row r="14" ht="145.9" customHeight="1" thickBot="1">
      <c r="A14" s="51" t="n">
        <v>13</v>
      </c>
      <c r="B14" s="14" t="inlineStr">
        <is>
          <t>Coordinación y Operación del SEN</t>
        </is>
      </c>
      <c r="C14" s="14" t="n">
        <v>2026</v>
      </c>
      <c r="D14" s="14" t="inlineStr">
        <is>
          <t>Disposiciones Transitorias</t>
        </is>
      </c>
      <c r="E14" s="14" t="inlineStr">
        <is>
          <t>Comienzo de exigencia de desvío estático de los pronósticos eólico y solar</t>
        </is>
      </c>
      <c r="F14" s="59" t="inlineStr">
        <is>
          <t>ep_tvaldes@colbun.cl</t>
        </is>
      </c>
      <c r="G14" s="14" t="inlineStr">
        <is>
          <t>Coordinados</t>
        </is>
      </c>
      <c r="H14" s="14" t="n">
        <v>365</v>
      </c>
      <c r="I14" s="14" t="inlineStr">
        <is>
          <t>Corridos</t>
        </is>
      </c>
      <c r="J14" s="14" t="n"/>
      <c r="K14" s="15">
        <f>IF(I14="Corridos",H14+K2,WORKDAY(K2,H14,Tabla4[Fecha]))</f>
        <v/>
      </c>
      <c r="L14" s="15">
        <f>IF(I14="Corridos",H14+N2,WORKDAY(N2,H14,Tabla4[Fecha]))</f>
        <v/>
      </c>
      <c r="M14" s="15" t="n"/>
      <c r="N14" s="40">
        <f>IF(ISBLANK(M14),L14,M14)</f>
        <v/>
      </c>
      <c r="O14" s="47">
        <f>N14-TODAY()</f>
        <v/>
      </c>
      <c r="P14" s="11" t="inlineStr">
        <is>
          <t>Si</t>
        </is>
      </c>
      <c r="Q14" s="11" t="inlineStr">
        <is>
          <t>Fecha de inicio para la fiscalización y cumplimiento obligatorio de los márgenes máximos de error en los pronósticos de centrales eólicas y solares.</t>
        </is>
      </c>
      <c r="R14" s="63" t="inlineStr">
        <is>
          <t>Si</t>
        </is>
      </c>
    </row>
    <row r="15" ht="108.6" customHeight="1" thickBot="1">
      <c r="A15" s="51" t="n">
        <v>14</v>
      </c>
      <c r="B15" s="14" t="inlineStr">
        <is>
          <t>Coordinación y Operación del SEN</t>
        </is>
      </c>
      <c r="C15" s="14" t="n">
        <v>2026</v>
      </c>
      <c r="D15" s="14" t="inlineStr">
        <is>
          <t>Disposiciones Transitorias</t>
        </is>
      </c>
      <c r="E15" s="14" t="inlineStr">
        <is>
          <t>Habilitación de herramientas para las comunicaciones de la Proyección de Demanda</t>
        </is>
      </c>
      <c r="F15" s="59" t="inlineStr">
        <is>
          <t>ep_tvaldes@colbun.cl</t>
        </is>
      </c>
      <c r="G15" s="14" t="inlineStr">
        <is>
          <t>Coordinador</t>
        </is>
      </c>
      <c r="H15" s="14" t="n">
        <v>365</v>
      </c>
      <c r="I15" s="14" t="inlineStr">
        <is>
          <t>Corridos</t>
        </is>
      </c>
      <c r="J15" s="14" t="n"/>
      <c r="K15" s="15">
        <f>IF(I15="Corridos",H15+K2,WORKDAY(K2,H15,Tabla4[Fecha]))</f>
        <v/>
      </c>
      <c r="L15" s="15">
        <f>IF(I15="Corridos",H15+N2,WORKDAY(N2,H15,Tabla4[Fecha]))</f>
        <v/>
      </c>
      <c r="M15" s="15" t="n"/>
      <c r="N15" s="40">
        <f>IF(ISBLANK(M15),L15,M15)</f>
        <v/>
      </c>
      <c r="O15" s="47">
        <f>N15-TODAY()</f>
        <v/>
      </c>
      <c r="P15" s="11" t="inlineStr">
        <is>
          <t>No</t>
        </is>
      </c>
      <c r="Q15" s="11" t="inlineStr">
        <is>
          <t>El Coordinador debe tener operativos los sistemas informáticos para recibir las Proyecciones de Demanda de Distribuidoras y Clientes Libres.</t>
        </is>
      </c>
      <c r="R15" s="63" t="inlineStr">
        <is>
          <t>Si</t>
        </is>
      </c>
    </row>
    <row r="16" ht="117.6" customHeight="1" thickBot="1">
      <c r="A16" s="51" t="n">
        <v>15</v>
      </c>
      <c r="B16" s="14" t="inlineStr">
        <is>
          <t>Coordinación y Operación del SEN</t>
        </is>
      </c>
      <c r="C16" s="14" t="n">
        <v>2026</v>
      </c>
      <c r="D16" s="14" t="inlineStr">
        <is>
          <t>Disposiciones Transitorias</t>
        </is>
      </c>
      <c r="E16" s="14" t="inlineStr">
        <is>
          <t>Primera Proyección de Demanda de los Coordinados</t>
        </is>
      </c>
      <c r="F16" s="59" t="inlineStr">
        <is>
          <t>ep_tvaldes@colbun.cl</t>
        </is>
      </c>
      <c r="G16" s="14" t="inlineStr">
        <is>
          <t>Coordinados</t>
        </is>
      </c>
      <c r="H16" s="14" t="n">
        <v>120</v>
      </c>
      <c r="I16" s="14" t="inlineStr">
        <is>
          <t>Corridos</t>
        </is>
      </c>
      <c r="J16" s="14" t="inlineStr">
        <is>
          <t>Habilitación de herramientas para las comunicaciones de la Proyección de Demanda</t>
        </is>
      </c>
      <c r="K16" s="15">
        <f>IF(I16="Corridos",H16+N15,WORKDAY(N15,H16,Tabla4[Fecha]))</f>
        <v/>
      </c>
      <c r="L16" s="15">
        <f>IF(I16="Corridos",H16+N15,WORKDAY(N15,H16,Tabla4[Fecha]))</f>
        <v/>
      </c>
      <c r="M16" s="15" t="n"/>
      <c r="N16" s="40">
        <f>IF(ISBLANK(M16),L16,M16)</f>
        <v/>
      </c>
      <c r="O16" s="47">
        <f>N16-TODAY()</f>
        <v/>
      </c>
      <c r="P16" s="11" t="inlineStr">
        <is>
          <t>Si</t>
        </is>
      </c>
      <c r="Q16" s="11" t="inlineStr">
        <is>
          <t>Plazo máximo para que Empresas Distribuidoras y Clientes Libres comiencen a enviar sus Proyecciones de Demanda de corto plazo.</t>
        </is>
      </c>
      <c r="R16" s="63" t="inlineStr">
        <is>
          <t>No</t>
        </is>
      </c>
      <c r="S16" t="inlineStr">
        <is>
          <t>*Relacionada con la de arriba</t>
        </is>
      </c>
    </row>
    <row r="17" ht="153" customHeight="1" thickBot="1">
      <c r="A17" s="51" t="n">
        <v>16</v>
      </c>
      <c r="B17" s="14" t="inlineStr">
        <is>
          <t>Coordinación y Operación del SEN</t>
        </is>
      </c>
      <c r="C17" s="14" t="n">
        <v>2026</v>
      </c>
      <c r="D17" s="14" t="inlineStr">
        <is>
          <t>Disposiciones Transitorias</t>
        </is>
      </c>
      <c r="E17" s="14" t="inlineStr">
        <is>
          <t>Habilitación de las bases de datos de los Pronósticos de Generación y de las Proyecciones de Demanda</t>
        </is>
      </c>
      <c r="F17" s="59" t="inlineStr">
        <is>
          <t>ep_tvaldes@colbun.cl</t>
        </is>
      </c>
      <c r="G17" s="14" t="inlineStr">
        <is>
          <t>Coordinador</t>
        </is>
      </c>
      <c r="H17" s="14" t="n">
        <v>365</v>
      </c>
      <c r="I17" s="14" t="inlineStr">
        <is>
          <t>Corridos</t>
        </is>
      </c>
      <c r="J17" s="14" t="n"/>
      <c r="K17" s="15">
        <f>IF(I17="Corridos",H17+K2,WORKDAY(K2,H17,Tabla4[Fecha]))</f>
        <v/>
      </c>
      <c r="L17" s="15">
        <f>IF(I17="Corridos",H17+N2,WORKDAY(N2,H17,Tabla4[Fecha]))</f>
        <v/>
      </c>
      <c r="M17" s="15" t="n"/>
      <c r="N17" s="40">
        <f>IF(ISBLANK(M17),L17,M17)</f>
        <v/>
      </c>
      <c r="O17" s="47">
        <f>N17-TODAY()</f>
        <v/>
      </c>
      <c r="P17" s="11" t="inlineStr">
        <is>
          <t>No</t>
        </is>
      </c>
      <c r="Q17" s="11" t="inlineStr">
        <is>
          <t>El Coordinador debe dejar operativas las bases de datos que almacenarán los registros históricos de Pronósticos de Generación y Proyecciones de Demanda enviados por las empresas.</t>
        </is>
      </c>
      <c r="R17" s="63" t="inlineStr">
        <is>
          <t>Si</t>
        </is>
      </c>
    </row>
    <row r="18" ht="159" customHeight="1" thickBot="1">
      <c r="A18" s="51" t="n">
        <v>17</v>
      </c>
      <c r="B18" s="14" t="inlineStr">
        <is>
          <t>Coordinación y Operación del SEN</t>
        </is>
      </c>
      <c r="C18" s="14" t="n">
        <v>2026</v>
      </c>
      <c r="D18" s="14" t="inlineStr">
        <is>
          <t>Disposiciones Transitorias</t>
        </is>
      </c>
      <c r="E18" s="14" t="inlineStr">
        <is>
          <t>Habilitación de las bases de datos de la Proyección Centralizada de Demanda,Pronóstico Centralizado de Generación y de Caudales</t>
        </is>
      </c>
      <c r="F18" s="59" t="inlineStr">
        <is>
          <t>ep_tvaldes@colbun.cl</t>
        </is>
      </c>
      <c r="G18" s="14" t="inlineStr">
        <is>
          <t>Coordinador</t>
        </is>
      </c>
      <c r="H18" s="14" t="n">
        <v>365</v>
      </c>
      <c r="I18" s="14" t="inlineStr">
        <is>
          <t>Corridos</t>
        </is>
      </c>
      <c r="J18" s="14" t="n"/>
      <c r="K18" s="15">
        <f>IF(I18="Corridos",H18+K2,WORKDAY(K2,H18,Tabla4[Fecha]))</f>
        <v/>
      </c>
      <c r="L18" s="15">
        <f>IF(I18="Corridos",H18+N2,WORKDAY(N2,H18,Tabla4[Fecha]))</f>
        <v/>
      </c>
      <c r="M18" s="15" t="n"/>
      <c r="N18" s="40">
        <f>IF(ISBLANK(M18),L18,M18)</f>
        <v/>
      </c>
      <c r="O18" s="47">
        <f>N18-TODAY()</f>
        <v/>
      </c>
      <c r="P18" s="11" t="inlineStr">
        <is>
          <t>No</t>
        </is>
      </c>
      <c r="Q18" s="11" t="inlineStr">
        <is>
          <t>El Coordinador habilitará las bases de datos para resguardar los resultados de sus propios Pronósticos Centralizados (Demanda, Generación Renovable y Caudales).</t>
        </is>
      </c>
      <c r="R18" s="63" t="inlineStr">
        <is>
          <t>Si</t>
        </is>
      </c>
      <c r="S18" s="4" t="n"/>
    </row>
    <row r="19" ht="79.15000000000001" customHeight="1">
      <c r="A19" s="51" t="n">
        <v>18</v>
      </c>
      <c r="B19" s="14" t="inlineStr">
        <is>
          <t>Coordinación y Operación del SEN</t>
        </is>
      </c>
      <c r="C19" s="14" t="n">
        <v>2026</v>
      </c>
      <c r="D19" s="14" t="inlineStr">
        <is>
          <t>Disposiciones Transitorias</t>
        </is>
      </c>
      <c r="E19" s="14" t="inlineStr">
        <is>
          <t>Informe Anual y reporte de desempeño de la Programación de la Operación</t>
        </is>
      </c>
      <c r="F19" s="59" t="inlineStr">
        <is>
          <t>ep_tvaldes@colbun.cl</t>
        </is>
      </c>
      <c r="G19" s="14" t="inlineStr">
        <is>
          <t>Coordinador</t>
        </is>
      </c>
      <c r="H19" s="14" t="n">
        <v>365</v>
      </c>
      <c r="I19" s="14" t="inlineStr">
        <is>
          <t>Corridos</t>
        </is>
      </c>
      <c r="J19" s="14" t="n"/>
      <c r="K19" s="15">
        <f>IF(I19="Corridos",H19+K2,WORKDAY(K2,H19,Tabla4[Fecha]))</f>
        <v/>
      </c>
      <c r="L19" s="15">
        <f>IF(I19="Corridos",H19+N2,WORKDAY(N2,H19,Tabla4[Fecha]))</f>
        <v/>
      </c>
      <c r="M19" s="15" t="n"/>
      <c r="N19" s="40">
        <f>IF(ISBLANK(M19),L19,M19)</f>
        <v/>
      </c>
      <c r="O19" s="47">
        <f>N19-TODAY()</f>
        <v/>
      </c>
      <c r="P19" s="11" t="inlineStr">
        <is>
          <t>No</t>
        </is>
      </c>
      <c r="Q19" s="11" t="inlineStr">
        <is>
          <t>Publicación del primer Informe Anual y reporte de desempeño (correspondiente al año 2025).</t>
        </is>
      </c>
      <c r="R19" s="63" t="inlineStr">
        <is>
          <t>Si</t>
        </is>
      </c>
      <c r="S19" s="4" t="n"/>
    </row>
    <row r="20" ht="159" customHeight="1" thickBot="1">
      <c r="A20" s="51" t="n">
        <v>19</v>
      </c>
      <c r="B20" s="14" t="inlineStr">
        <is>
          <t>Coordinación y Operación del SEN</t>
        </is>
      </c>
      <c r="C20" s="14" t="n">
        <v>2026</v>
      </c>
      <c r="D20" s="14" t="inlineStr">
        <is>
          <t>Disposiciones Transitorias</t>
        </is>
      </c>
      <c r="E20" s="14" t="inlineStr">
        <is>
          <t>Plazo para Estudio del estado del Pronóstico Centralizado</t>
        </is>
      </c>
      <c r="F20" s="59" t="inlineStr">
        <is>
          <t>ep_tvaldes@colbun.cl</t>
        </is>
      </c>
      <c r="G20" s="14" t="inlineStr">
        <is>
          <t>Coordinador</t>
        </is>
      </c>
      <c r="H20" s="14" t="n">
        <v>730</v>
      </c>
      <c r="I20" s="14" t="inlineStr">
        <is>
          <t>Corridos</t>
        </is>
      </c>
      <c r="J20" s="14" t="n"/>
      <c r="K20" s="15">
        <f>IF(I20="Corridos",H20+K2,WORKDAY(K2,H20,Tabla4[Fecha]))</f>
        <v/>
      </c>
      <c r="L20" s="15">
        <f>IF(I20="Corridos",H20+N2,WORKDAY(N2,H20,Tabla4[Fecha]))</f>
        <v/>
      </c>
      <c r="M20" s="15" t="n"/>
      <c r="N20" s="40">
        <f>IF(ISBLANK(M20),L20,M20)</f>
        <v/>
      </c>
      <c r="O20" s="47">
        <f>N20-TODAY()</f>
        <v/>
      </c>
      <c r="P20" s="11" t="inlineStr">
        <is>
          <t>No</t>
        </is>
      </c>
      <c r="Q20" s="11" t="inlineStr">
        <is>
          <t>Fecha límite para que el Coordinador realice y publique el primer estudio técnico que verifica la precisión y estado de sus metodologías de pronóstico centralizado.</t>
        </is>
      </c>
      <c r="R20" s="63" t="inlineStr">
        <is>
          <t>Si</t>
        </is>
      </c>
    </row>
    <row r="21" ht="132.6" customHeight="1" thickBot="1">
      <c r="A21" s="51" t="n">
        <v>20</v>
      </c>
      <c r="B21" s="14" t="inlineStr">
        <is>
          <t>Coordinación y Operación del SEN</t>
        </is>
      </c>
      <c r="C21" s="14" t="n">
        <v>2026</v>
      </c>
      <c r="D21" s="14" t="inlineStr">
        <is>
          <t>Disposiciones Transitorias</t>
        </is>
      </c>
      <c r="E21" s="14" t="inlineStr">
        <is>
          <t>Habilitación de plataforma de la Programación de la Operación</t>
        </is>
      </c>
      <c r="F21" s="14" t="inlineStr">
        <is>
          <t>ep_tvaldes@colbun.cl</t>
        </is>
      </c>
      <c r="G21" s="14" t="inlineStr">
        <is>
          <t>Coordinador</t>
        </is>
      </c>
      <c r="H21" s="14" t="n">
        <v>1096</v>
      </c>
      <c r="I21" s="14" t="inlineStr">
        <is>
          <t>Hábiles</t>
        </is>
      </c>
      <c r="J21" s="14" t="n"/>
      <c r="K21" s="15">
        <f>IF(I21="Corridos",H21+K2,WORKDAY(K2,H21,Tabla4[Fecha]))</f>
        <v/>
      </c>
      <c r="L21" s="15">
        <f>IF(I21="Corridos",H21+N2,WORKDAY(N2,H21,Tabla4[Fecha]))</f>
        <v/>
      </c>
      <c r="M21" s="14" t="n"/>
      <c r="N21" s="40">
        <f>IF(ISBLANK(M21),L21,M21)</f>
        <v/>
      </c>
      <c r="O21" s="47">
        <f>N21-TODAY()</f>
        <v/>
      </c>
      <c r="P21" s="11" t="inlineStr">
        <is>
          <t>No</t>
        </is>
      </c>
      <c r="Q21" s="11" t="inlineStr">
        <is>
          <t>Hito final para la implementación completa y definitiva de la Plataforma web de Programación de la Operación y sus medios de comunicación oficiales.</t>
        </is>
      </c>
      <c r="R21" s="63" t="inlineStr">
        <is>
          <t>Si</t>
        </is>
      </c>
    </row>
    <row r="22" ht="13.15" customHeight="1"/>
    <row r="23" ht="13.15" customHeight="1"/>
    <row r="24" ht="13.15" customHeight="1"/>
    <row r="25" ht="15.75" customHeight="1">
      <c r="E25" t="inlineStr">
        <is>
          <t>cvcvc</t>
        </is>
      </c>
    </row>
    <row r="26" ht="15.75" customHeight="1">
      <c r="F26" t="inlineStr">
        <is>
          <t>cvvcvc</t>
        </is>
      </c>
    </row>
    <row r="27" ht="15.75" customHeight="1">
      <c r="J27" t="inlineStr">
        <is>
          <t>cvcvc</t>
        </is>
      </c>
    </row>
  </sheetData>
  <hyperlinks>
    <hyperlink xmlns:r="http://schemas.openxmlformats.org/officeDocument/2006/relationships" ref="F4" r:id="rId1"/>
  </hyperlinks>
  <pageMargins left="0.7" right="0.7" top="0.75" bottom="0.75" header="0.3" footer="0.3"/>
  <pageSetup orientation="portrait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R39"/>
  <sheetViews>
    <sheetView zoomScale="85" zoomScaleNormal="85" workbookViewId="0">
      <pane ySplit="2" topLeftCell="A18" activePane="bottomLeft" state="frozen"/>
      <selection pane="bottomLeft" activeCell="H40" sqref="H40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18.42578125" customWidth="1" min="5" max="6"/>
    <col width="19.28515625" bestFit="1" customWidth="1" min="7" max="7"/>
    <col width="15.28515625" bestFit="1" customWidth="1" min="8" max="8"/>
    <col width="15.7109375" customWidth="1" min="9" max="9"/>
    <col width="17.140625" bestFit="1" customWidth="1" min="10" max="10"/>
    <col width="17.7109375" bestFit="1" customWidth="1" min="11" max="11"/>
    <col width="23" customWidth="1" min="12" max="12"/>
    <col width="15" customWidth="1" min="13" max="14"/>
    <col width="18.5703125" bestFit="1" customWidth="1" min="16" max="16"/>
    <col width="14" bestFit="1" customWidth="1" min="17" max="17"/>
    <col width="10.140625" bestFit="1" customWidth="1" min="18" max="18"/>
    <col width="12.85546875" bestFit="1" customWidth="1" min="19" max="19"/>
    <col width="19" bestFit="1" customWidth="1" min="20" max="20"/>
    <col width="17.28515625" bestFit="1" customWidth="1" min="21" max="21"/>
    <col width="14.28515625" bestFit="1" customWidth="1" min="22" max="22"/>
    <col width="17.28515625" bestFit="1" customWidth="1" min="23" max="23"/>
  </cols>
  <sheetData>
    <row r="1" ht="15.75" customHeight="1" thickBot="1">
      <c r="A1" s="5" t="n"/>
      <c r="B1" s="5" t="n"/>
      <c r="C1" s="5" t="n"/>
      <c r="D1" s="5" t="n"/>
      <c r="E1" s="5" t="n"/>
      <c r="F1" s="5" t="inlineStr">
        <is>
          <t>*Correos</t>
        </is>
      </c>
      <c r="G1" s="5" t="n"/>
      <c r="H1" s="5" t="n"/>
      <c r="I1" s="5" t="n"/>
      <c r="J1" s="5" t="n"/>
      <c r="K1" s="5" t="n"/>
      <c r="L1" s="5" t="inlineStr">
        <is>
          <t>*Input</t>
        </is>
      </c>
      <c r="M1" s="5" t="n"/>
      <c r="N1" s="38" t="n"/>
    </row>
    <row r="2" ht="29.45" customHeight="1" thickBot="1">
      <c r="A2" s="5" t="inlineStr">
        <is>
          <t>ID</t>
        </is>
      </c>
      <c r="B2" s="5" t="inlineStr">
        <is>
          <t>Norma</t>
        </is>
      </c>
      <c r="C2" s="5" t="inlineStr">
        <is>
          <t>Periodo</t>
        </is>
      </c>
      <c r="D2" s="5" t="inlineStr">
        <is>
          <t>Proceso</t>
        </is>
      </c>
      <c r="E2" s="5" t="inlineStr">
        <is>
          <t>Hito / Etapa</t>
        </is>
      </c>
      <c r="F2" s="5" t="inlineStr">
        <is>
          <t>Responsable</t>
        </is>
      </c>
      <c r="G2" s="5" t="inlineStr">
        <is>
          <t>Agente</t>
        </is>
      </c>
      <c r="H2" s="5" t="inlineStr">
        <is>
          <t>Plazo</t>
        </is>
      </c>
      <c r="I2" s="5" t="inlineStr">
        <is>
          <t>Tipo_Dia</t>
        </is>
      </c>
      <c r="J2" s="5" t="inlineStr">
        <is>
          <t>ID_Gatillador</t>
        </is>
      </c>
      <c r="K2" s="5" t="inlineStr">
        <is>
          <t>Fecha_Proyectada</t>
        </is>
      </c>
      <c r="L2" s="5" t="inlineStr">
        <is>
          <t>Fecha_Real_Manual</t>
        </is>
      </c>
      <c r="M2" s="39" t="inlineStr">
        <is>
          <t>Fecha_Vigente</t>
        </is>
      </c>
      <c r="N2" s="44" t="inlineStr">
        <is>
          <t>Dias_Restantes</t>
        </is>
      </c>
      <c r="O2" s="38" t="inlineStr">
        <is>
          <t>Fecha_Base_Inicio</t>
        </is>
      </c>
      <c r="P2" s="38" t="inlineStr">
        <is>
          <t>Fecha_Calculada</t>
        </is>
      </c>
    </row>
    <row r="3" ht="27" customHeight="1" thickBot="1">
      <c r="A3" s="5" t="n">
        <v>36</v>
      </c>
      <c r="B3" s="5" t="inlineStr">
        <is>
          <t>Decreto 10</t>
        </is>
      </c>
      <c r="C3" s="14" t="inlineStr">
        <is>
          <t>2024-2027</t>
        </is>
      </c>
      <c r="D3" s="14" t="inlineStr">
        <is>
          <t>Valorización</t>
        </is>
      </c>
      <c r="E3" s="14" t="inlineStr">
        <is>
          <t>Inicio de Estudio Zonal</t>
        </is>
      </c>
      <c r="F3" s="14" t="n"/>
      <c r="G3" s="14" t="inlineStr">
        <is>
          <t>Consultor</t>
        </is>
      </c>
      <c r="H3" s="14" t="n">
        <v>20</v>
      </c>
      <c r="I3" s="14" t="inlineStr">
        <is>
          <t>Días</t>
        </is>
      </c>
      <c r="J3" s="14" t="n"/>
      <c r="K3" s="15" t="n">
        <v>44868</v>
      </c>
      <c r="L3" s="15" t="n">
        <v>45645</v>
      </c>
      <c r="M3" s="40">
        <f>IF(ISBLANK(L3),K3,L3)</f>
        <v/>
      </c>
      <c r="N3" s="46" t="n"/>
      <c r="O3" s="40">
        <f>IF(ISNUMBER(J3),_xlfn.XLOOKUP(J3,$A$3:$A$18,$M$3:$M$18),J3)</f>
        <v/>
      </c>
    </row>
    <row r="4" ht="40.15" customHeight="1" thickBot="1">
      <c r="A4" s="14" t="n">
        <v>37</v>
      </c>
      <c r="B4" s="14" t="inlineStr">
        <is>
          <t>Decreto 10</t>
        </is>
      </c>
      <c r="C4" s="14" t="inlineStr">
        <is>
          <t>2024-2027</t>
        </is>
      </c>
      <c r="D4" s="14" t="inlineStr">
        <is>
          <t>Valorización</t>
        </is>
      </c>
      <c r="E4" s="14" t="inlineStr">
        <is>
          <t>Observaciones Informe Avance 1 V3 (Zonal)</t>
        </is>
      </c>
      <c r="F4" s="14" t="n"/>
      <c r="G4" s="14" t="inlineStr">
        <is>
          <t>Participantes e interesados</t>
        </is>
      </c>
      <c r="H4" s="14" t="inlineStr">
        <is>
          <t>-</t>
        </is>
      </c>
      <c r="I4" s="14" t="inlineStr">
        <is>
          <t>Hábiles</t>
        </is>
      </c>
      <c r="J4" s="19" t="n"/>
      <c r="K4" s="14" t="n"/>
      <c r="L4" s="15" t="n">
        <v>45793</v>
      </c>
      <c r="M4" s="40">
        <f>IF(ISBLANK(L4),K4,L4)</f>
        <v/>
      </c>
      <c r="N4" s="47" t="n"/>
      <c r="O4" s="40">
        <f>IF(ISNUMBER(J4),_xlfn.XLOOKUP(J4,$A$3:$A$18,$M$3:$M$18),J4)</f>
        <v/>
      </c>
    </row>
    <row r="5" ht="27" customHeight="1" thickBot="1">
      <c r="A5" s="33" t="n">
        <v>38</v>
      </c>
      <c r="B5" s="33" t="inlineStr">
        <is>
          <t>Decreto 10</t>
        </is>
      </c>
      <c r="C5" s="33" t="inlineStr">
        <is>
          <t>2024-2027</t>
        </is>
      </c>
      <c r="D5" s="33" t="inlineStr">
        <is>
          <t>Valorización</t>
        </is>
      </c>
      <c r="E5" s="33" t="inlineStr">
        <is>
          <t>Informe Avance 2 (Zonal)</t>
        </is>
      </c>
      <c r="F5" s="33" t="n"/>
      <c r="G5" s="33" t="inlineStr">
        <is>
          <t>Consultor</t>
        </is>
      </c>
      <c r="H5" s="33" t="n">
        <v>407</v>
      </c>
      <c r="I5" s="33" t="inlineStr">
        <is>
          <t>Corridos</t>
        </is>
      </c>
      <c r="J5" s="35" t="n">
        <v>36</v>
      </c>
      <c r="K5" s="34">
        <f>IF(I5="Corridos",H5+L3,WORKDAY(L3,H5,Tabla4[Fecha]))</f>
        <v/>
      </c>
      <c r="L5" s="34" t="n">
        <v>46052</v>
      </c>
      <c r="M5" s="41">
        <f>IF(ISBLANK(L5),K5,L5)</f>
        <v/>
      </c>
      <c r="N5" s="48">
        <f>M5-TODAY()</f>
        <v/>
      </c>
      <c r="O5" s="41">
        <f>IF(ISNUMBER(J5),_xlfn.XLOOKUP(J5,$A$3:$A$18,$M$3:$M$18),J5)</f>
        <v/>
      </c>
      <c r="R5" t="inlineStr">
        <is>
          <t>*Se pide V3 en 5 días hábiles en caso de no cumplir por parte del consultor</t>
        </is>
      </c>
    </row>
    <row r="6" ht="40.15" customHeight="1" thickBot="1">
      <c r="A6" s="14" t="n">
        <v>39</v>
      </c>
      <c r="B6" s="14" t="inlineStr">
        <is>
          <t>Decreto 10</t>
        </is>
      </c>
      <c r="C6" s="14" t="inlineStr">
        <is>
          <t>2024-2027</t>
        </is>
      </c>
      <c r="D6" s="14" t="inlineStr">
        <is>
          <t>Valorización</t>
        </is>
      </c>
      <c r="E6" s="14" t="inlineStr">
        <is>
          <t>Observaciones Informe Avance 2 (Zonal)</t>
        </is>
      </c>
      <c r="F6" s="14" t="n"/>
      <c r="G6" s="14" t="inlineStr">
        <is>
          <t>Participantes e interesados</t>
        </is>
      </c>
      <c r="H6" s="14" t="n">
        <v>15</v>
      </c>
      <c r="I6" s="14" t="inlineStr">
        <is>
          <t>Hábiles</t>
        </is>
      </c>
      <c r="J6" s="20" t="n">
        <v>38</v>
      </c>
      <c r="K6" s="15">
        <f>IF(I6="Corridos",H6+M5,WORKDAY(M5,H6,Tabla4[Fecha]))</f>
        <v/>
      </c>
      <c r="L6" s="14" t="n"/>
      <c r="M6" s="40">
        <f>IF(ISBLANK(L6),K6,L6)</f>
        <v/>
      </c>
      <c r="N6" s="47">
        <f>M6-TODAY()</f>
        <v/>
      </c>
      <c r="O6" s="40">
        <f>IF(ISNUMBER(J6),_xlfn.XLOOKUP(J6,$A$3:$A$18,$M$3:$M$18),J6)</f>
        <v/>
      </c>
      <c r="R6" s="4" t="inlineStr">
        <is>
          <t>*Tres extensiones de plazo</t>
        </is>
      </c>
    </row>
    <row r="7" ht="51.6" customHeight="1" thickBot="1">
      <c r="A7" s="14" t="n">
        <v>40</v>
      </c>
      <c r="B7" s="14" t="n"/>
      <c r="C7" s="14" t="n"/>
      <c r="D7" s="14" t="n"/>
      <c r="E7" s="28" t="inlineStr">
        <is>
          <t>Entrega Informe Avance 1 V2 (Zonal)</t>
        </is>
      </c>
      <c r="F7" s="14" t="n"/>
      <c r="G7" s="14" t="n"/>
      <c r="H7" s="14" t="n"/>
      <c r="I7" s="14" t="n"/>
      <c r="J7" s="20" t="n"/>
      <c r="K7" s="15">
        <f>IF(I7="Corridos",H7+M6,WORKDAY(M6,H7,Tabla4[Fecha]))</f>
        <v/>
      </c>
      <c r="L7" s="14" t="n"/>
      <c r="M7" s="40">
        <f>IF(ISBLANK(L7),K7,L7)</f>
        <v/>
      </c>
      <c r="N7" s="49">
        <f>M7-TODAY()</f>
        <v/>
      </c>
      <c r="O7" s="40">
        <f>IF(ISNUMBER(J7),_xlfn.XLOOKUP(J7,$A$3:$A$18,$M$3:$M$18),J7)</f>
        <v/>
      </c>
    </row>
    <row r="8" ht="40.15" customHeight="1" thickBot="1">
      <c r="A8" s="14" t="n">
        <v>41</v>
      </c>
      <c r="B8" s="14" t="n"/>
      <c r="C8" s="14" t="n"/>
      <c r="D8" s="14" t="n"/>
      <c r="E8" s="14" t="inlineStr">
        <is>
          <t>Observaciones Informe Avance 1 V2 (Zonal)</t>
        </is>
      </c>
      <c r="F8" s="14" t="n"/>
      <c r="G8" s="14" t="n"/>
      <c r="H8" s="14" t="n"/>
      <c r="I8" s="14" t="n"/>
      <c r="J8" s="20" t="n"/>
      <c r="K8" s="15">
        <f>IF(I8="Corridos",H8+M7,WORKDAY(M7,H8,Tabla4[Fecha]))</f>
        <v/>
      </c>
      <c r="L8" s="14" t="n"/>
      <c r="M8" s="40">
        <f>IF(ISBLANK(L8),K8,L8)</f>
        <v/>
      </c>
      <c r="N8" s="45">
        <f>M8-TODAY()</f>
        <v/>
      </c>
      <c r="O8" s="40">
        <f>IF(ISNUMBER(J8),_xlfn.XLOOKUP(J8,$A$3:$A$18,$M$3:$M$18),J8)</f>
        <v/>
      </c>
      <c r="R8" t="inlineStr">
        <is>
          <t>*Posibilidades</t>
        </is>
      </c>
    </row>
    <row r="9" ht="27" customHeight="1" thickBot="1">
      <c r="A9" s="14" t="n">
        <v>42</v>
      </c>
      <c r="B9" s="14" t="n"/>
      <c r="C9" s="14" t="n"/>
      <c r="D9" s="14" t="n"/>
      <c r="E9" s="28" t="inlineStr">
        <is>
          <t xml:space="preserve"> Informe Avance 1 V3 (Zonal)</t>
        </is>
      </c>
      <c r="F9" s="14" t="n"/>
      <c r="G9" s="14" t="n"/>
      <c r="H9" s="14" t="n"/>
      <c r="I9" s="14" t="n"/>
      <c r="J9" s="20" t="n"/>
      <c r="K9" s="15">
        <f>IF(I9="Corridos",H9+M8,WORKDAY(M8,H9,Tabla4[Fecha]))</f>
        <v/>
      </c>
      <c r="L9" s="14" t="n"/>
      <c r="M9" s="40">
        <f>IF(ISBLANK(L9),K9,L9)</f>
        <v/>
      </c>
      <c r="N9" s="20">
        <f>M9-TODAY()</f>
        <v/>
      </c>
      <c r="O9" s="40">
        <f>IF(ISNUMBER(J9),_xlfn.XLOOKUP(J9,$A$3:$A$18,$M$3:$M$18),J9)</f>
        <v/>
      </c>
    </row>
    <row r="10" ht="40.15" customHeight="1" thickBot="1">
      <c r="A10" s="14" t="n">
        <v>43</v>
      </c>
      <c r="B10" s="14" t="n"/>
      <c r="C10" s="14" t="n"/>
      <c r="D10" s="14" t="n"/>
      <c r="E10" s="30" t="inlineStr">
        <is>
          <t>Observaciones Informe Avance 1 V3 (Zonal)</t>
        </is>
      </c>
      <c r="F10" s="14" t="n"/>
      <c r="G10" s="14" t="n"/>
      <c r="H10" s="14" t="n"/>
      <c r="I10" s="14" t="n"/>
      <c r="J10" s="20" t="n"/>
      <c r="K10" s="15">
        <f>IF(I10="Corridos",H10+M9,WORKDAY(M9,H10,Tabla4[Fecha]))</f>
        <v/>
      </c>
      <c r="L10" s="14" t="n"/>
      <c r="M10" s="40">
        <f>IF(ISBLANK(L10),K10,L10)</f>
        <v/>
      </c>
      <c r="N10" s="20">
        <f>M10-TODAY()</f>
        <v/>
      </c>
      <c r="O10" s="40">
        <f>IF(ISNUMBER(J10),_xlfn.XLOOKUP(J10,$A$3:$A$18,$M$3:$M$18),J10)</f>
        <v/>
      </c>
    </row>
    <row r="11" ht="27" customHeight="1" thickBot="1">
      <c r="A11" s="14" t="n">
        <v>44</v>
      </c>
      <c r="B11" s="14" t="inlineStr">
        <is>
          <t>Decreto 10</t>
        </is>
      </c>
      <c r="C11" s="14" t="inlineStr">
        <is>
          <t>2024-2027</t>
        </is>
      </c>
      <c r="D11" s="14" t="inlineStr">
        <is>
          <t>Valorización</t>
        </is>
      </c>
      <c r="E11" s="14" t="inlineStr">
        <is>
          <t>Informe Preliminar (Zonal)</t>
        </is>
      </c>
      <c r="F11" s="14" t="n"/>
      <c r="G11" s="14" t="inlineStr">
        <is>
          <t>Consultor</t>
        </is>
      </c>
      <c r="H11" s="14" t="n">
        <v>459</v>
      </c>
      <c r="I11" s="14" t="inlineStr">
        <is>
          <t>Corridos</t>
        </is>
      </c>
      <c r="J11" s="20" t="n">
        <v>36</v>
      </c>
      <c r="K11" s="34">
        <f>IF(I11="Corridos",H11+L3,WORKDAY(L3,H11,Tabla4[Fecha]))</f>
        <v/>
      </c>
      <c r="L11" s="34" t="n">
        <v>46104</v>
      </c>
      <c r="M11" s="40">
        <f>IF(ISBLANK(L11),K11,L11)</f>
        <v/>
      </c>
      <c r="N11" s="20">
        <f>M11-TODAY()</f>
        <v/>
      </c>
      <c r="O11" s="40">
        <f>IF(ISNUMBER(J11),_xlfn.XLOOKUP(J11,$A$3:$A$18,$M$3:$M$18),J11)</f>
        <v/>
      </c>
      <c r="R11" t="inlineStr">
        <is>
          <t>*30 días corridos</t>
        </is>
      </c>
    </row>
    <row r="12" ht="40.15" customHeight="1" thickBot="1">
      <c r="A12" s="14" t="n">
        <v>45</v>
      </c>
      <c r="B12" s="14" t="inlineStr">
        <is>
          <t>Decreto 10</t>
        </is>
      </c>
      <c r="C12" s="14" t="inlineStr">
        <is>
          <t>2024-2027</t>
        </is>
      </c>
      <c r="D12" s="14" t="inlineStr">
        <is>
          <t>Valorización</t>
        </is>
      </c>
      <c r="E12" s="14" t="inlineStr">
        <is>
          <t>Observaciones Informe Preliminar (Zonal)</t>
        </is>
      </c>
      <c r="F12" s="14" t="n"/>
      <c r="G12" s="14" t="inlineStr">
        <is>
          <t>Participantes e interesados</t>
        </is>
      </c>
      <c r="H12" s="14" t="n">
        <v>15</v>
      </c>
      <c r="I12" s="14" t="inlineStr">
        <is>
          <t>Hábiles</t>
        </is>
      </c>
      <c r="J12" s="20" t="n">
        <v>44</v>
      </c>
      <c r="K12" s="15">
        <f>IF(I12="Corridos",H12+M11,WORKDAY(M11,H12,Tabla4[Fecha]))</f>
        <v/>
      </c>
      <c r="L12" s="15" t="n"/>
      <c r="M12" s="40">
        <f>IF(ISBLANK(L12),K12,L12)</f>
        <v/>
      </c>
      <c r="N12" s="20">
        <f>M12-TODAY()</f>
        <v/>
      </c>
      <c r="O12" s="40">
        <f>IF(ISNUMBER(J12),_xlfn.XLOOKUP(J12,$A$3:$A$18,$M$3:$M$18),J12)</f>
        <v/>
      </c>
      <c r="R12" t="inlineStr">
        <is>
          <t>*20 días habiles</t>
        </is>
      </c>
    </row>
    <row r="13" ht="27" customHeight="1" thickBot="1">
      <c r="A13" s="14" t="n">
        <v>46</v>
      </c>
      <c r="B13" s="14" t="inlineStr">
        <is>
          <t>Decreto 10</t>
        </is>
      </c>
      <c r="C13" s="14" t="inlineStr">
        <is>
          <t>2024-2027</t>
        </is>
      </c>
      <c r="D13" s="14" t="inlineStr">
        <is>
          <t>Valorización</t>
        </is>
      </c>
      <c r="E13" s="14" t="inlineStr">
        <is>
          <t>Informe Final (Zonal)</t>
        </is>
      </c>
      <c r="F13" s="14" t="n"/>
      <c r="G13" s="14" t="inlineStr">
        <is>
          <t>Consultor</t>
        </is>
      </c>
      <c r="H13" s="14" t="n">
        <v>497</v>
      </c>
      <c r="I13" s="14" t="inlineStr">
        <is>
          <t>Corridos</t>
        </is>
      </c>
      <c r="J13" s="20" t="n">
        <v>36</v>
      </c>
      <c r="K13" s="34">
        <f>IF(I13="Corridos",H13+L3,WORKDAY(L3,H13,Tabla4[Fecha]))</f>
        <v/>
      </c>
      <c r="L13" s="34" t="n">
        <v>46172</v>
      </c>
      <c r="M13" s="40">
        <f>IF(ISBLANK(L13),K13,L13)</f>
        <v/>
      </c>
      <c r="N13" s="20">
        <f>M13-TODAY()</f>
        <v/>
      </c>
      <c r="O13" s="40">
        <f>IF(ISNUMBER(J13),_xlfn.XLOOKUP(J13,$A$3:$A$18,$M$3:$M$18),J13)</f>
        <v/>
      </c>
    </row>
    <row r="14" ht="40.15" customHeight="1" thickBot="1">
      <c r="A14" s="14" t="n">
        <v>47</v>
      </c>
      <c r="B14" s="14" t="inlineStr">
        <is>
          <t>Decreto 10</t>
        </is>
      </c>
      <c r="C14" s="14" t="inlineStr">
        <is>
          <t>2024-2027</t>
        </is>
      </c>
      <c r="D14" s="14" t="inlineStr">
        <is>
          <t>Valorización</t>
        </is>
      </c>
      <c r="E14" s="14" t="inlineStr">
        <is>
          <t>Observaciones Informe Final (Zonal)</t>
        </is>
      </c>
      <c r="F14" s="14" t="n"/>
      <c r="G14" s="14" t="inlineStr">
        <is>
          <t>Participantes e interesados</t>
        </is>
      </c>
      <c r="H14" s="14" t="n">
        <v>10</v>
      </c>
      <c r="I14" s="14" t="inlineStr">
        <is>
          <t>Hábiles</t>
        </is>
      </c>
      <c r="J14" s="20" t="n">
        <v>46</v>
      </c>
      <c r="K14" s="15">
        <f>IF(I14="Corridos",H14+M13,WORKDAY(M13,H14,Tabla4[Fecha]))</f>
        <v/>
      </c>
      <c r="L14" s="15" t="n"/>
      <c r="M14" s="40">
        <f>IF(ISBLANK(L14),K14,L14)</f>
        <v/>
      </c>
      <c r="N14" s="20">
        <f>M14-TODAY()</f>
        <v/>
      </c>
      <c r="O14" s="40">
        <f>IF(ISNUMBER(J14),_xlfn.XLOOKUP(J14,$A$3:$A$18,$M$3:$M$18),J14)</f>
        <v/>
      </c>
      <c r="R14" t="inlineStr">
        <is>
          <t>*Omisión de los periodos establecidos dado contexto de retrasos</t>
        </is>
      </c>
    </row>
    <row r="15" ht="52.9" customHeight="1" thickBot="1">
      <c r="A15" s="14" t="n">
        <v>48</v>
      </c>
      <c r="B15" s="14" t="inlineStr">
        <is>
          <t>Decreto 10</t>
        </is>
      </c>
      <c r="C15" s="14" t="inlineStr">
        <is>
          <t>2024-2027</t>
        </is>
      </c>
      <c r="D15" s="14" t="inlineStr">
        <is>
          <t>Valorización</t>
        </is>
      </c>
      <c r="E15" s="14" t="inlineStr">
        <is>
          <t>Informe Definitivo (Zonal)</t>
        </is>
      </c>
      <c r="F15" s="14" t="n"/>
      <c r="G15" s="14" t="inlineStr">
        <is>
          <t>Consultor</t>
        </is>
      </c>
      <c r="H15" s="14" t="n">
        <v>10</v>
      </c>
      <c r="I15" s="14" t="inlineStr">
        <is>
          <t>Hábiles</t>
        </is>
      </c>
      <c r="J15" s="20" t="n">
        <v>47</v>
      </c>
      <c r="K15" s="15">
        <f>IF(I15="Corridos",H15+M14,WORKDAY(M14,H15,Tabla4[Fecha]))</f>
        <v/>
      </c>
      <c r="L15" s="20" t="n"/>
      <c r="M15" s="40">
        <f>IF(ISBLANK(L15),K15,L15)</f>
        <v/>
      </c>
      <c r="N15" s="20">
        <f>M15-TODAY()</f>
        <v/>
      </c>
      <c r="O15" s="40">
        <f>IF(ISNUMBER(J15),_xlfn.XLOOKUP(J15,$A$3:$A$18,$M$3:$M$18),J15)</f>
        <v/>
      </c>
    </row>
    <row r="16" ht="27" customHeight="1" thickBot="1">
      <c r="A16" s="14" t="n">
        <v>49</v>
      </c>
      <c r="B16" s="14" t="inlineStr">
        <is>
          <t>Decreto 10</t>
        </is>
      </c>
      <c r="C16" s="14" t="inlineStr">
        <is>
          <t>2024-2027</t>
        </is>
      </c>
      <c r="D16" s="14" t="inlineStr">
        <is>
          <t>Valorización</t>
        </is>
      </c>
      <c r="E16" s="14" t="inlineStr">
        <is>
          <t>Convocatoria Audiencia Pública</t>
        </is>
      </c>
      <c r="F16" s="14" t="n"/>
      <c r="G16" s="14" t="inlineStr">
        <is>
          <t>CNE</t>
        </is>
      </c>
      <c r="H16" s="14" t="n">
        <v>5</v>
      </c>
      <c r="I16" s="14" t="inlineStr">
        <is>
          <t>Hábiles</t>
        </is>
      </c>
      <c r="J16" s="20" t="n">
        <v>48</v>
      </c>
      <c r="K16" s="15">
        <f>IF(I16="Corridos",H16+M15,WORKDAY(M15,H16,Tabla4[Fecha]))</f>
        <v/>
      </c>
      <c r="L16" s="15" t="n"/>
      <c r="M16" s="40">
        <f>IF(ISBLANK(L16),K16,L16)</f>
        <v/>
      </c>
      <c r="N16" s="20">
        <f>M16-TODAY()</f>
        <v/>
      </c>
      <c r="O16" s="40">
        <f>IF(ISNUMBER(J16),_xlfn.XLOOKUP(J16,$A$3:$A$18,$M$3:$M$18),J16)</f>
        <v/>
      </c>
      <c r="R16" t="inlineStr">
        <is>
          <t>*Respuestas</t>
        </is>
      </c>
    </row>
    <row r="17" ht="40.15" customHeight="1" thickBot="1">
      <c r="A17" s="14" t="n">
        <v>50</v>
      </c>
      <c r="B17" s="14" t="inlineStr">
        <is>
          <t>Decreto 10</t>
        </is>
      </c>
      <c r="C17" s="14" t="inlineStr">
        <is>
          <t>2024-2027</t>
        </is>
      </c>
      <c r="D17" s="14" t="inlineStr">
        <is>
          <t>Valorización</t>
        </is>
      </c>
      <c r="E17" s="14" t="inlineStr">
        <is>
          <t>Presentación Nomina de Asitentes</t>
        </is>
      </c>
      <c r="F17" s="14" t="n"/>
      <c r="G17" s="14" t="inlineStr">
        <is>
          <t>Participantes e interesados</t>
        </is>
      </c>
      <c r="H17" s="14" t="n">
        <v>3</v>
      </c>
      <c r="I17" s="14" t="inlineStr">
        <is>
          <t>Hábiles</t>
        </is>
      </c>
      <c r="J17" s="20" t="n">
        <v>49</v>
      </c>
      <c r="K17" s="15">
        <f>IF(I17="Corridos",H17+M16,WORKDAY(M16,H17,Tabla4[Fecha]))</f>
        <v/>
      </c>
      <c r="L17" s="15" t="n"/>
      <c r="M17" s="40">
        <f>IF(ISBLANK(L17),K17,L17)</f>
        <v/>
      </c>
      <c r="N17" s="20">
        <f>M17-TODAY()</f>
        <v/>
      </c>
      <c r="O17" s="40">
        <f>IF(ISNUMBER(J17),_xlfn.XLOOKUP(J17,$A$3:$A$18,$M$3:$M$18),J17)</f>
        <v/>
      </c>
    </row>
    <row r="18" ht="27.6" customHeight="1" thickBot="1">
      <c r="A18" s="14" t="n">
        <v>51</v>
      </c>
      <c r="B18" s="14" t="inlineStr">
        <is>
          <t>Decreto 10</t>
        </is>
      </c>
      <c r="C18" s="14" t="inlineStr">
        <is>
          <t>2024-2027</t>
        </is>
      </c>
      <c r="D18" s="14" t="inlineStr">
        <is>
          <t>Valorización</t>
        </is>
      </c>
      <c r="E18" s="14" t="inlineStr">
        <is>
          <t>Audiencia Pública</t>
        </is>
      </c>
      <c r="F18" s="14" t="n"/>
      <c r="G18" s="14" t="inlineStr">
        <is>
          <t>Todos</t>
        </is>
      </c>
      <c r="H18" s="14" t="n">
        <v>10</v>
      </c>
      <c r="I18" s="14" t="inlineStr">
        <is>
          <t>Hábiles</t>
        </is>
      </c>
      <c r="J18" s="20" t="n">
        <v>50</v>
      </c>
      <c r="K18" s="15">
        <f>IF(I18="Corridos",H18+M16,WORKDAY(M16,H18,Tabla4[Fecha]))</f>
        <v/>
      </c>
      <c r="L18" s="15" t="n"/>
      <c r="M18" s="40">
        <f>IF(ISBLANK(L18),K18,L18)</f>
        <v/>
      </c>
      <c r="N18" s="20">
        <f>M18-TODAY()</f>
        <v/>
      </c>
      <c r="O18" s="40">
        <f>IF(ISNUMBER(J18),_xlfn.XLOOKUP(J18,$A$3:$A$18,$M$3:$M$18),J18)</f>
        <v/>
      </c>
      <c r="R18" t="inlineStr">
        <is>
          <t>*Previo</t>
        </is>
      </c>
    </row>
    <row r="19" ht="13.9" customHeight="1" thickBot="1">
      <c r="N19" s="42" t="n"/>
      <c r="R19" t="inlineStr">
        <is>
          <t>*10 días desde la convocatoria</t>
        </is>
      </c>
    </row>
    <row r="20" ht="27" customHeight="1" thickBot="1">
      <c r="A20" s="2" t="inlineStr">
        <is>
          <t>ID</t>
        </is>
      </c>
      <c r="B20" s="2" t="n"/>
      <c r="C20" s="2" t="inlineStr">
        <is>
          <t>Periodo</t>
        </is>
      </c>
      <c r="D20" s="2" t="inlineStr">
        <is>
          <t>Proceso</t>
        </is>
      </c>
      <c r="E20" s="2" t="inlineStr">
        <is>
          <t>Hito / Etapa</t>
        </is>
      </c>
      <c r="F20" s="2" t="n"/>
      <c r="G20" s="2" t="inlineStr">
        <is>
          <t>Responsable</t>
        </is>
      </c>
      <c r="H20" s="2" t="inlineStr">
        <is>
          <t>Plazo</t>
        </is>
      </c>
      <c r="I20" s="2" t="inlineStr">
        <is>
          <t>Hábiles o Corridos</t>
        </is>
      </c>
      <c r="J20" s="2" t="inlineStr">
        <is>
          <t>Gatillador</t>
        </is>
      </c>
      <c r="K20" s="2" t="inlineStr">
        <is>
          <t>Fecha_Proyectada</t>
        </is>
      </c>
      <c r="L20" s="2" t="inlineStr">
        <is>
          <t>Fecha_Real_Manual</t>
        </is>
      </c>
      <c r="M20" s="2" t="inlineStr">
        <is>
          <t>Fecha_Vigente</t>
        </is>
      </c>
      <c r="N20" s="43" t="n"/>
    </row>
    <row r="21" ht="27" customHeight="1" thickBot="1">
      <c r="A21" s="21" t="n">
        <v>65</v>
      </c>
      <c r="B21" s="21" t="inlineStr">
        <is>
          <t>Decreto 10</t>
        </is>
      </c>
      <c r="C21" s="21" t="inlineStr">
        <is>
          <t>2024-2027</t>
        </is>
      </c>
      <c r="D21" s="21" t="inlineStr">
        <is>
          <t>Valorización</t>
        </is>
      </c>
      <c r="E21" s="21" t="inlineStr">
        <is>
          <t>Inicio de Estudio Zonal</t>
        </is>
      </c>
      <c r="F21" s="21" t="n"/>
      <c r="G21" s="21" t="inlineStr">
        <is>
          <t>Consultor</t>
        </is>
      </c>
      <c r="H21" s="21" t="n">
        <v>20</v>
      </c>
      <c r="I21" s="21" t="inlineStr">
        <is>
          <t>Hábiles</t>
        </is>
      </c>
      <c r="J21" s="21" t="n"/>
      <c r="K21" s="23" t="n">
        <v>44708</v>
      </c>
      <c r="L21" s="23" t="n">
        <v>45728</v>
      </c>
      <c r="M21" s="23">
        <f>IF(ISBLANK(L21),K21,L21)</f>
        <v/>
      </c>
      <c r="N21" s="36" t="inlineStr">
        <is>
          <t>-</t>
        </is>
      </c>
    </row>
    <row r="22" ht="27" customHeight="1" thickBot="1">
      <c r="A22" s="21" t="n">
        <v>66</v>
      </c>
      <c r="B22" s="21" t="inlineStr">
        <is>
          <t>Decreto 10</t>
        </is>
      </c>
      <c r="C22" s="21" t="inlineStr">
        <is>
          <t>2024-2027</t>
        </is>
      </c>
      <c r="D22" s="21" t="inlineStr">
        <is>
          <t>Valorización</t>
        </is>
      </c>
      <c r="E22" s="21" t="inlineStr">
        <is>
          <t>Informe Avance 2 (Nacional)</t>
        </is>
      </c>
      <c r="F22" s="21" t="n"/>
      <c r="G22" s="21" t="inlineStr">
        <is>
          <t>Consultor</t>
        </is>
      </c>
      <c r="H22" s="21" t="n">
        <v>351</v>
      </c>
      <c r="I22" s="21" t="inlineStr">
        <is>
          <t>Corridos</t>
        </is>
      </c>
      <c r="J22" s="36" t="n">
        <v>65</v>
      </c>
      <c r="K22" s="23" t="n">
        <v>46079</v>
      </c>
      <c r="L22" s="23" t="n">
        <v>46079</v>
      </c>
      <c r="M22" s="23">
        <f>IF(ISBLANK(L22),K22,L22)</f>
        <v/>
      </c>
      <c r="N22" s="36">
        <f>M22-TODAY()</f>
        <v/>
      </c>
    </row>
    <row r="23" ht="40.15" customHeight="1" thickBot="1">
      <c r="A23" s="21" t="n">
        <v>67</v>
      </c>
      <c r="B23" s="21" t="inlineStr">
        <is>
          <t>Decreto 10</t>
        </is>
      </c>
      <c r="C23" s="21" t="inlineStr">
        <is>
          <t>2024-2027</t>
        </is>
      </c>
      <c r="D23" s="21" t="inlineStr">
        <is>
          <t>Valorización</t>
        </is>
      </c>
      <c r="E23" s="21" t="inlineStr">
        <is>
          <t>Observaciones Informe Avance 2 (Zonal)</t>
        </is>
      </c>
      <c r="F23" s="21" t="n"/>
      <c r="G23" s="21" t="inlineStr">
        <is>
          <t>Participantes e interesados</t>
        </is>
      </c>
      <c r="H23" s="21" t="n">
        <v>15</v>
      </c>
      <c r="I23" s="21" t="inlineStr">
        <is>
          <t>Hábiles</t>
        </is>
      </c>
      <c r="J23" s="36" t="n">
        <v>66</v>
      </c>
      <c r="K23" s="23">
        <f>IF(I23="Corridos",H23+M22,WORKDAY(M22,H23,Tabla4[Fecha]))</f>
        <v/>
      </c>
      <c r="L23" s="23" t="n"/>
      <c r="M23" s="23">
        <f>IF(ISBLANK(L23),K23,L23)</f>
        <v/>
      </c>
      <c r="N23" s="36">
        <f>M23-TODAY()</f>
        <v/>
      </c>
      <c r="R23" s="4" t="inlineStr">
        <is>
          <t>*Tres Extensiones de plazo/130 días desde el inicio del estudio</t>
        </is>
      </c>
    </row>
    <row r="24" ht="27" customHeight="1" thickBot="1">
      <c r="A24" s="21" t="n">
        <v>68</v>
      </c>
      <c r="B24" s="21" t="inlineStr">
        <is>
          <t>Decreto 10</t>
        </is>
      </c>
      <c r="C24" s="21" t="inlineStr">
        <is>
          <t>2024-2027</t>
        </is>
      </c>
      <c r="D24" s="21" t="inlineStr">
        <is>
          <t>Valorización</t>
        </is>
      </c>
      <c r="E24" s="21" t="inlineStr">
        <is>
          <t>Informe Preliminar (Nacional)</t>
        </is>
      </c>
      <c r="F24" s="21" t="n"/>
      <c r="G24" s="21" t="inlineStr">
        <is>
          <t>Consultor</t>
        </is>
      </c>
      <c r="H24" s="21" t="n">
        <v>401</v>
      </c>
      <c r="I24" s="21" t="inlineStr">
        <is>
          <t>Corridos</t>
        </is>
      </c>
      <c r="J24" s="36" t="n">
        <v>65</v>
      </c>
      <c r="K24" s="23">
        <f>IF(I24="Corridos",H24+L21,WORKDAY(L21,H24,Tabla4[Fecha]))</f>
        <v/>
      </c>
      <c r="L24" s="23" t="n">
        <v>46129</v>
      </c>
      <c r="M24" s="23">
        <f>IF(ISBLANK(L24),K24,L24)</f>
        <v/>
      </c>
      <c r="N24" s="36">
        <f>M24-TODAY()</f>
        <v/>
      </c>
      <c r="R24" s="4" t="inlineStr">
        <is>
          <t>*35 días habiles</t>
        </is>
      </c>
    </row>
    <row r="25" ht="40.15" customHeight="1" thickBot="1">
      <c r="A25" s="21" t="n">
        <v>69</v>
      </c>
      <c r="B25" s="21" t="inlineStr">
        <is>
          <t>Decreto 10</t>
        </is>
      </c>
      <c r="C25" s="21" t="inlineStr">
        <is>
          <t>2024-2027</t>
        </is>
      </c>
      <c r="D25" s="21" t="inlineStr">
        <is>
          <t>Valorización</t>
        </is>
      </c>
      <c r="E25" s="21" t="inlineStr">
        <is>
          <t>Observaciones Informe Preliminar (Nacional)</t>
        </is>
      </c>
      <c r="F25" s="21" t="n"/>
      <c r="G25" s="21" t="inlineStr">
        <is>
          <t>Participantes e interesados</t>
        </is>
      </c>
      <c r="H25" s="21" t="n">
        <v>15</v>
      </c>
      <c r="I25" s="21" t="inlineStr">
        <is>
          <t>Hábiles</t>
        </is>
      </c>
      <c r="J25" s="36" t="n">
        <v>68</v>
      </c>
      <c r="K25" s="23">
        <f>IF(I25="Corridos",H25+M24,WORKDAY(M24,H25,Tabla4[Fecha]))</f>
        <v/>
      </c>
      <c r="L25" s="23" t="n"/>
      <c r="M25" s="23">
        <f>IF(ISBLANK(L25),K25,L25)</f>
        <v/>
      </c>
      <c r="N25" s="36">
        <f>M25-TODAY()</f>
        <v/>
      </c>
      <c r="R25" t="inlineStr">
        <is>
          <t>*373 dias desde el inicio de estudios,</t>
        </is>
      </c>
    </row>
    <row r="26" ht="27" customHeight="1" thickBot="1">
      <c r="A26" s="21" t="n">
        <v>70</v>
      </c>
      <c r="B26" s="21" t="inlineStr">
        <is>
          <t>Decreto 10</t>
        </is>
      </c>
      <c r="C26" s="21" t="inlineStr">
        <is>
          <t>2024-2027</t>
        </is>
      </c>
      <c r="D26" s="21" t="inlineStr">
        <is>
          <t>Valorización</t>
        </is>
      </c>
      <c r="E26" s="21" t="inlineStr">
        <is>
          <t>Informe Final (Nacional)</t>
        </is>
      </c>
      <c r="F26" s="21" t="n"/>
      <c r="G26" s="21" t="inlineStr">
        <is>
          <t>Consultor</t>
        </is>
      </c>
      <c r="H26" s="21" t="n">
        <v>441</v>
      </c>
      <c r="I26" s="21" t="inlineStr">
        <is>
          <t>Corridos</t>
        </is>
      </c>
      <c r="J26" s="36" t="n">
        <v>65</v>
      </c>
      <c r="K26" s="23">
        <f>IF(I26="Corridos",H26+L21,WORKDAY(L21,H26,Tabla4[Fecha]))</f>
        <v/>
      </c>
      <c r="L26" s="23" t="n">
        <v>46169</v>
      </c>
      <c r="M26" s="23">
        <f>IF(ISBLANK(L26),K26,L26)</f>
        <v/>
      </c>
      <c r="N26" s="36">
        <f>M26-TODAY()</f>
        <v/>
      </c>
    </row>
    <row r="27" ht="40.15" customHeight="1" thickBot="1">
      <c r="A27" s="21" t="n">
        <v>71</v>
      </c>
      <c r="B27" s="14" t="inlineStr">
        <is>
          <t>Decreto 10</t>
        </is>
      </c>
      <c r="C27" s="14" t="inlineStr">
        <is>
          <t>2024-2027</t>
        </is>
      </c>
      <c r="D27" s="14" t="inlineStr">
        <is>
          <t>Valorización</t>
        </is>
      </c>
      <c r="E27" s="14" t="inlineStr">
        <is>
          <t>Observaciones Informe Final (Zonal)</t>
        </is>
      </c>
      <c r="F27" s="14" t="n"/>
      <c r="G27" s="14" t="inlineStr">
        <is>
          <t>Participantes e interesados</t>
        </is>
      </c>
      <c r="H27" s="14" t="n">
        <v>10</v>
      </c>
      <c r="I27" s="14" t="inlineStr">
        <is>
          <t>Hábiles</t>
        </is>
      </c>
      <c r="J27" s="20" t="n">
        <v>70</v>
      </c>
      <c r="K27" s="15">
        <f>IF(I27="Corridos",H27+M26,WORKDAY(M26,H27,Tabla4[Fecha]))</f>
        <v/>
      </c>
      <c r="L27" s="15" t="n"/>
      <c r="M27" s="15">
        <f>IF(ISBLANK(L27),K27,L27)</f>
        <v/>
      </c>
      <c r="N27" s="20">
        <f>M27-TODAY()</f>
        <v/>
      </c>
      <c r="R27" t="inlineStr">
        <is>
          <t>*441 días corridos desde inicio de estudios</t>
        </is>
      </c>
    </row>
    <row r="28" ht="27" customHeight="1" thickBot="1">
      <c r="A28" s="21" t="n">
        <v>72</v>
      </c>
      <c r="B28" s="14" t="inlineStr">
        <is>
          <t>Decreto 10</t>
        </is>
      </c>
      <c r="C28" s="14" t="inlineStr">
        <is>
          <t>2024-2027</t>
        </is>
      </c>
      <c r="D28" s="14" t="inlineStr">
        <is>
          <t>Valorización</t>
        </is>
      </c>
      <c r="E28" s="14" t="inlineStr">
        <is>
          <t>Informe Definitivo (Zonal)</t>
        </is>
      </c>
      <c r="F28" s="14" t="n"/>
      <c r="G28" s="14" t="inlineStr">
        <is>
          <t>Consultor</t>
        </is>
      </c>
      <c r="H28" s="14" t="n">
        <v>10</v>
      </c>
      <c r="I28" s="14" t="inlineStr">
        <is>
          <t>Hábiles</t>
        </is>
      </c>
      <c r="J28" s="20" t="n">
        <v>71</v>
      </c>
      <c r="K28" s="15">
        <f>IF(I28="Corridos",H28+M27,WORKDAY(M27,H28,Tabla4[Fecha]))</f>
        <v/>
      </c>
      <c r="L28" s="20" t="n"/>
      <c r="M28" s="15">
        <f>IF(ISBLANK(L28),K28,L28)</f>
        <v/>
      </c>
      <c r="N28" s="20">
        <f>M28-TODAY()</f>
        <v/>
      </c>
    </row>
    <row r="29" ht="27" customHeight="1" thickBot="1">
      <c r="A29" s="21" t="n">
        <v>73</v>
      </c>
      <c r="B29" s="14" t="inlineStr">
        <is>
          <t>Decreto 10</t>
        </is>
      </c>
      <c r="C29" s="14" t="inlineStr">
        <is>
          <t>2024-2027</t>
        </is>
      </c>
      <c r="D29" s="14" t="inlineStr">
        <is>
          <t>Valorización</t>
        </is>
      </c>
      <c r="E29" s="14" t="inlineStr">
        <is>
          <t>Convocatoria Audiencia Pública</t>
        </is>
      </c>
      <c r="F29" s="14" t="n"/>
      <c r="G29" s="14" t="inlineStr">
        <is>
          <t>CNE</t>
        </is>
      </c>
      <c r="H29" s="14" t="n">
        <v>5</v>
      </c>
      <c r="I29" s="14" t="inlineStr">
        <is>
          <t>Hábiles</t>
        </is>
      </c>
      <c r="J29" s="20" t="n">
        <v>72</v>
      </c>
      <c r="K29" s="15">
        <f>IF(I29="Corridos",H29+M28,WORKDAY(M28,H29,Tabla4[Fecha]))</f>
        <v/>
      </c>
      <c r="L29" s="15" t="n"/>
      <c r="M29" s="15">
        <f>IF(ISBLANK(L29),K29,L29)</f>
        <v/>
      </c>
      <c r="N29" s="20">
        <f>M29-TODAY()</f>
        <v/>
      </c>
    </row>
    <row r="30" ht="40.15" customHeight="1" thickBot="1">
      <c r="A30" s="21" t="n">
        <v>74</v>
      </c>
      <c r="B30" s="14" t="inlineStr">
        <is>
          <t>Decreto 10</t>
        </is>
      </c>
      <c r="C30" s="14" t="inlineStr">
        <is>
          <t>2024-2027</t>
        </is>
      </c>
      <c r="D30" s="14" t="inlineStr">
        <is>
          <t>Valorización</t>
        </is>
      </c>
      <c r="E30" s="14" t="inlineStr">
        <is>
          <t>Presentación Nomina de Asitentes</t>
        </is>
      </c>
      <c r="F30" s="14" t="n"/>
      <c r="G30" s="14" t="inlineStr">
        <is>
          <t>Participantes e interesados</t>
        </is>
      </c>
      <c r="H30" s="14" t="n">
        <v>3</v>
      </c>
      <c r="I30" s="14" t="inlineStr">
        <is>
          <t>Hábiles</t>
        </is>
      </c>
      <c r="J30" s="20" t="n">
        <v>73</v>
      </c>
      <c r="K30" s="15">
        <f>IF(I30="Corridos",H30+M29,WORKDAY(M29,H30,Tabla4[Fecha]))</f>
        <v/>
      </c>
      <c r="L30" s="15" t="n"/>
      <c r="M30" s="15">
        <f>IF(ISBLANK(L30),K30,L30)</f>
        <v/>
      </c>
      <c r="N30" s="20">
        <f>M30-TODAY()</f>
        <v/>
      </c>
    </row>
    <row r="31" ht="27" customHeight="1" thickBot="1">
      <c r="A31" s="21" t="n">
        <v>75</v>
      </c>
      <c r="B31" s="26" t="inlineStr">
        <is>
          <t>Decreto 10</t>
        </is>
      </c>
      <c r="C31" s="26" t="inlineStr">
        <is>
          <t>2024-2027</t>
        </is>
      </c>
      <c r="D31" s="26" t="inlineStr">
        <is>
          <t>Valorización</t>
        </is>
      </c>
      <c r="E31" s="26" t="inlineStr">
        <is>
          <t>Audiencia Publica</t>
        </is>
      </c>
      <c r="F31" s="26" t="n"/>
      <c r="G31" s="26" t="inlineStr">
        <is>
          <t>Participantes e interesados</t>
        </is>
      </c>
      <c r="H31" s="26" t="n">
        <v>10</v>
      </c>
      <c r="I31" s="26" t="inlineStr">
        <is>
          <t>Hábiles</t>
        </is>
      </c>
      <c r="J31" s="26" t="n">
        <v>74</v>
      </c>
      <c r="K31" s="27">
        <f>IF(I31="Corridos",H31+M30,WORKDAY(M30,H31,Tabla4[Fecha]))</f>
        <v/>
      </c>
      <c r="L31" s="27" t="n"/>
      <c r="M31" s="27">
        <f>IF(ISBLANK(L31),K31,L31)</f>
        <v/>
      </c>
      <c r="N31" s="26">
        <f>M31-TODAY()</f>
        <v/>
      </c>
    </row>
    <row r="32" ht="40.15" customHeight="1" thickBot="1">
      <c r="A32" s="9" t="n">
        <v>100</v>
      </c>
      <c r="B32" s="9" t="inlineStr">
        <is>
          <t>Decreto 10</t>
        </is>
      </c>
      <c r="C32" s="9" t="inlineStr">
        <is>
          <t>2024-2027</t>
        </is>
      </c>
      <c r="D32" s="9" t="inlineStr">
        <is>
          <t>Valorización</t>
        </is>
      </c>
      <c r="E32" s="9" t="inlineStr">
        <is>
          <t>Informe Técnico Valorización Preliminar</t>
        </is>
      </c>
      <c r="F32" s="9" t="n"/>
      <c r="G32" s="9" t="inlineStr">
        <is>
          <t>CNE</t>
        </is>
      </c>
      <c r="H32" s="9" t="n">
        <v>90</v>
      </c>
      <c r="I32" s="9" t="inlineStr">
        <is>
          <t>Hábiles</t>
        </is>
      </c>
      <c r="J32" s="37" t="n">
        <v>75</v>
      </c>
      <c r="K32" s="11">
        <f>IF(I32="Corridos",H32+M31,WORKDAY(M31,H32,Tabla4[Fecha]))</f>
        <v/>
      </c>
      <c r="L32" s="11" t="n"/>
      <c r="M32" s="11">
        <f>IF(ISBLANK(L32),K32,L32)</f>
        <v/>
      </c>
      <c r="N32" s="37">
        <f>M32-TODAY()</f>
        <v/>
      </c>
      <c r="R32" t="inlineStr">
        <is>
          <t>*Pueden ser más de 10 días</t>
        </is>
      </c>
    </row>
    <row r="33" ht="53.45" customHeight="1" thickBot="1">
      <c r="A33" s="9" t="n">
        <v>101</v>
      </c>
      <c r="B33" s="9" t="inlineStr">
        <is>
          <t>Decreto 10</t>
        </is>
      </c>
      <c r="C33" s="9" t="inlineStr">
        <is>
          <t>2024-2027</t>
        </is>
      </c>
      <c r="D33" s="9" t="inlineStr">
        <is>
          <t>Valorización</t>
        </is>
      </c>
      <c r="E33" s="9" t="inlineStr">
        <is>
          <t>Observaciones Informe Técnico Valorización Preliminar</t>
        </is>
      </c>
      <c r="F33" s="9" t="n"/>
      <c r="G33" s="9" t="inlineStr">
        <is>
          <t>Participantes e interesados</t>
        </is>
      </c>
      <c r="H33" s="9" t="n">
        <v>10</v>
      </c>
      <c r="I33" s="9" t="inlineStr">
        <is>
          <t>Hábiles</t>
        </is>
      </c>
      <c r="J33" s="37" t="n">
        <v>76</v>
      </c>
      <c r="K33" s="11">
        <f>IF(I33="Corridos",H33+M32,WORKDAY(M32,H33,Tabla4[Fecha]))</f>
        <v/>
      </c>
      <c r="L33" s="11" t="n"/>
      <c r="M33" s="11">
        <f>IF(ISBLANK(L33),K33,L33)</f>
        <v/>
      </c>
      <c r="N33" s="37">
        <f>M33-TODAY()</f>
        <v/>
      </c>
      <c r="R33" t="inlineStr">
        <is>
          <t>*Ojo con esta fecha, es el cuello de botella del proceso</t>
        </is>
      </c>
    </row>
    <row r="34" ht="27" customHeight="1" thickBot="1">
      <c r="A34" s="9" t="n">
        <v>102</v>
      </c>
      <c r="B34" s="9" t="inlineStr">
        <is>
          <t>Decreto 10</t>
        </is>
      </c>
      <c r="C34" s="9" t="inlineStr">
        <is>
          <t>2024-2027</t>
        </is>
      </c>
      <c r="D34" s="9" t="inlineStr">
        <is>
          <t>Valorización</t>
        </is>
      </c>
      <c r="E34" s="9" t="inlineStr">
        <is>
          <t xml:space="preserve"> Informe Técnico Valorización Final</t>
        </is>
      </c>
      <c r="F34" s="9" t="n"/>
      <c r="G34" s="9" t="inlineStr">
        <is>
          <t>CNE</t>
        </is>
      </c>
      <c r="H34" s="9" t="n">
        <v>20</v>
      </c>
      <c r="I34" s="9" t="inlineStr">
        <is>
          <t>Hábiles</t>
        </is>
      </c>
      <c r="J34" s="37" t="n">
        <v>77</v>
      </c>
      <c r="K34" s="11">
        <f>IF(I34="Corridos",H34+M33,WORKDAY(M33,H34,Tabla4[Fecha]))</f>
        <v/>
      </c>
      <c r="L34" s="11" t="n"/>
      <c r="M34" s="11">
        <f>IF(ISBLANK(L34),K34,L34)</f>
        <v/>
      </c>
      <c r="N34" s="37">
        <f>M34-TODAY()</f>
        <v/>
      </c>
      <c r="R34" t="inlineStr">
        <is>
          <t>*Debido a que se debe considerar la fecha en la que la CNE dispone de los dos informes (Zonal, dedicado y Nacional)</t>
        </is>
      </c>
    </row>
    <row r="35" ht="40.15" customHeight="1" thickBot="1">
      <c r="A35" s="9" t="n">
        <v>103</v>
      </c>
      <c r="B35" s="9" t="inlineStr">
        <is>
          <t>Decreto 10</t>
        </is>
      </c>
      <c r="C35" s="9" t="inlineStr">
        <is>
          <t>2024-2027</t>
        </is>
      </c>
      <c r="D35" s="9" t="inlineStr">
        <is>
          <t>Valorización</t>
        </is>
      </c>
      <c r="E35" s="9" t="inlineStr">
        <is>
          <t>Presentación de Discrepancias al Panel de Expertos</t>
        </is>
      </c>
      <c r="F35" s="9" t="n"/>
      <c r="G35" s="9" t="inlineStr">
        <is>
          <t>Participantes e interesados</t>
        </is>
      </c>
      <c r="H35" s="9" t="n">
        <v>10</v>
      </c>
      <c r="I35" s="9" t="inlineStr">
        <is>
          <t>Hábiles</t>
        </is>
      </c>
      <c r="J35" s="37" t="n">
        <v>78</v>
      </c>
      <c r="K35" s="11">
        <f>IF(I35="Corridos",H35+M34,WORKDAY(M34,H35,Tabla4[Fecha]))</f>
        <v/>
      </c>
      <c r="L35" s="11" t="n"/>
      <c r="M35" s="11">
        <f>IF(ISBLANK(L35),K35,L35)</f>
        <v/>
      </c>
      <c r="N35" s="37">
        <f>M35-TODAY()</f>
        <v/>
      </c>
    </row>
    <row r="36" ht="27" customHeight="1" thickBot="1">
      <c r="A36" s="9" t="n">
        <v>104</v>
      </c>
      <c r="B36" s="9" t="inlineStr">
        <is>
          <t>Decreto 10</t>
        </is>
      </c>
      <c r="C36" s="9" t="inlineStr">
        <is>
          <t>2024-2027</t>
        </is>
      </c>
      <c r="D36" s="9" t="inlineStr">
        <is>
          <t>Valorización</t>
        </is>
      </c>
      <c r="E36" s="9" t="inlineStr">
        <is>
          <t>Audiencia Panel de Expertos</t>
        </is>
      </c>
      <c r="F36" s="9" t="n"/>
      <c r="G36" s="9" t="inlineStr">
        <is>
          <t>Panel de Expertos</t>
        </is>
      </c>
      <c r="H36" s="9" t="n">
        <v>10</v>
      </c>
      <c r="I36" s="9" t="inlineStr">
        <is>
          <t>Hábiles</t>
        </is>
      </c>
      <c r="J36" s="37" t="n">
        <v>79</v>
      </c>
      <c r="K36" s="11">
        <f>IF(I36="Corridos",H36+M35,WORKDAY(M35,H36,Tabla4[Fecha]))</f>
        <v/>
      </c>
      <c r="L36" s="11" t="n"/>
      <c r="M36" s="11">
        <f>IF(ISBLANK(L36),K36,L36)</f>
        <v/>
      </c>
      <c r="N36" s="37">
        <f>M36-TODAY()</f>
        <v/>
      </c>
    </row>
    <row r="37" ht="27" customHeight="1" thickBot="1">
      <c r="A37" s="9" t="n">
        <v>105</v>
      </c>
      <c r="B37" s="9" t="inlineStr">
        <is>
          <t>Decreto 10</t>
        </is>
      </c>
      <c r="C37" s="9" t="inlineStr">
        <is>
          <t>2024-2027</t>
        </is>
      </c>
      <c r="D37" s="9" t="inlineStr">
        <is>
          <t>Valorización</t>
        </is>
      </c>
      <c r="E37" s="9" t="inlineStr">
        <is>
          <t>Dictamen Panel de Expertos</t>
        </is>
      </c>
      <c r="F37" s="9" t="n"/>
      <c r="G37" s="9" t="inlineStr">
        <is>
          <t>Panel de Expertos</t>
        </is>
      </c>
      <c r="H37" s="9" t="n">
        <v>45</v>
      </c>
      <c r="I37" s="9" t="inlineStr">
        <is>
          <t>Hábiles</t>
        </is>
      </c>
      <c r="J37" s="37" t="n">
        <v>80</v>
      </c>
      <c r="K37" s="11">
        <f>IF(I37="Corridos",H37+M36,WORKDAY(M36,H37,Tabla4[Fecha]))</f>
        <v/>
      </c>
      <c r="L37" s="11" t="n"/>
      <c r="M37" s="11">
        <f>IF(ISBLANK(L37),K37,L37)</f>
        <v/>
      </c>
      <c r="N37" s="37">
        <f>M37-TODAY()</f>
        <v/>
      </c>
      <c r="R37" t="inlineStr">
        <is>
          <t>*Audiencia puede ser en más de 10 días</t>
        </is>
      </c>
    </row>
    <row r="38" ht="40.15" customHeight="1" thickBot="1">
      <c r="A38" s="9" t="n">
        <v>106</v>
      </c>
      <c r="B38" s="9" t="inlineStr">
        <is>
          <t>Decreto 10</t>
        </is>
      </c>
      <c r="C38" s="9" t="inlineStr">
        <is>
          <t>2024-2027</t>
        </is>
      </c>
      <c r="D38" s="9" t="inlineStr">
        <is>
          <t>Valorización</t>
        </is>
      </c>
      <c r="E38" s="9" t="inlineStr">
        <is>
          <t>Informe Técnico de Valorización definitivo</t>
        </is>
      </c>
      <c r="F38" s="9" t="n"/>
      <c r="G38" s="9" t="inlineStr">
        <is>
          <t>CNE</t>
        </is>
      </c>
      <c r="H38" s="9" t="n">
        <v>20</v>
      </c>
      <c r="I38" s="9" t="inlineStr">
        <is>
          <t>Hábiles</t>
        </is>
      </c>
      <c r="J38" s="37" t="n">
        <v>81</v>
      </c>
      <c r="K38" s="11">
        <f>IF(I38="Corridos",H38+M37,WORKDAY(M37,H38,Tabla4[Fecha]))</f>
        <v/>
      </c>
      <c r="L38" s="11" t="n"/>
      <c r="M38" s="11">
        <f>IF(ISBLANK(L38),K38,L38)</f>
        <v/>
      </c>
      <c r="N38" s="37">
        <f>M38-TODAY()</f>
        <v/>
      </c>
    </row>
    <row r="39" ht="27" customHeight="1" thickBot="1">
      <c r="A39" s="9" t="n">
        <v>107</v>
      </c>
      <c r="B39" s="9" t="inlineStr">
        <is>
          <t>Decreto 10</t>
        </is>
      </c>
      <c r="C39" s="9" t="inlineStr">
        <is>
          <t>2024-2027</t>
        </is>
      </c>
      <c r="D39" s="9" t="inlineStr">
        <is>
          <t>Valorización</t>
        </is>
      </c>
      <c r="E39" s="9" t="inlineStr">
        <is>
          <t>Decreto Expedido</t>
        </is>
      </c>
      <c r="F39" s="9" t="n"/>
      <c r="G39" s="9" t="inlineStr">
        <is>
          <t>Ministerio de Energía</t>
        </is>
      </c>
      <c r="H39" s="9" t="n">
        <v>20</v>
      </c>
      <c r="I39" s="9" t="inlineStr">
        <is>
          <t>Hábiles</t>
        </is>
      </c>
      <c r="J39" s="37" t="n">
        <v>82</v>
      </c>
      <c r="K39" s="11">
        <f>IF(I39="Corridos",H39+M38,WORKDAY(M38,H39,Tabla4[Fecha]))</f>
        <v/>
      </c>
      <c r="L39" s="11" t="n"/>
      <c r="M39" s="11">
        <f>IF(ISBLANK(L39),K39,L39)</f>
        <v/>
      </c>
      <c r="N39" s="37">
        <f>M39-TODAY()</f>
        <v/>
      </c>
    </row>
    <row r="40" ht="13.15" customHeight="1"/>
    <row r="41" ht="13.15" customHeight="1"/>
    <row r="42" ht="13.15" customHeight="1"/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43"/>
  <sheetViews>
    <sheetView zoomScale="55" zoomScaleNormal="55" workbookViewId="0">
      <pane ySplit="1" topLeftCell="A2" activePane="bottomLeft" state="frozen"/>
      <selection pane="bottomLeft" activeCell="N11" sqref="N11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18.42578125" customWidth="1" min="5" max="6"/>
    <col width="19.28515625" bestFit="1" customWidth="1" min="7" max="7"/>
    <col width="15.28515625" bestFit="1" customWidth="1" min="8" max="8"/>
    <col width="15.7109375" customWidth="1" min="9" max="9"/>
    <col width="17.7109375" customWidth="1" min="10" max="10"/>
    <col width="18.7109375" customWidth="1" min="11" max="11"/>
    <col width="23.28515625" customWidth="1" min="12" max="12"/>
    <col width="24.42578125" customWidth="1" min="13" max="13"/>
    <col width="18.85546875" customWidth="1" min="14" max="14"/>
    <col width="21.5703125" customWidth="1" min="15" max="15"/>
    <col width="18.5703125" bestFit="1" customWidth="1" min="16" max="16"/>
    <col width="16" customWidth="1" min="17" max="17"/>
    <col width="27.5703125" customWidth="1" min="18" max="18"/>
    <col width="12.85546875" bestFit="1" customWidth="1" min="19" max="19"/>
    <col width="19" bestFit="1" customWidth="1" min="20" max="20"/>
    <col width="17.28515625" bestFit="1" customWidth="1" min="21" max="21"/>
    <col width="14.28515625" bestFit="1" customWidth="1" min="22" max="22"/>
    <col width="17.28515625" bestFit="1" customWidth="1" min="23" max="23"/>
  </cols>
  <sheetData>
    <row r="1" ht="13.9" customHeight="1" thickBot="1">
      <c r="A1" s="91" t="inlineStr">
        <is>
          <t>ID</t>
        </is>
      </c>
      <c r="B1" s="84" t="inlineStr">
        <is>
          <t>Norma</t>
        </is>
      </c>
      <c r="C1" s="84" t="inlineStr">
        <is>
          <t>Periodo</t>
        </is>
      </c>
      <c r="D1" s="84" t="inlineStr">
        <is>
          <t>Proceso</t>
        </is>
      </c>
      <c r="E1" s="84" t="inlineStr">
        <is>
          <t>Hito / Etapa</t>
        </is>
      </c>
      <c r="F1" s="84" t="inlineStr">
        <is>
          <t>Responsable</t>
        </is>
      </c>
      <c r="G1" s="84" t="inlineStr">
        <is>
          <t>Agente</t>
        </is>
      </c>
      <c r="H1" s="84" t="inlineStr">
        <is>
          <t>Plazo</t>
        </is>
      </c>
      <c r="I1" s="84" t="inlineStr">
        <is>
          <t>Tipo_Dia</t>
        </is>
      </c>
      <c r="J1" s="84" t="inlineStr">
        <is>
          <t>ID_Gatillador</t>
        </is>
      </c>
      <c r="K1" s="84" t="inlineStr">
        <is>
          <t>Fecha_teórica</t>
        </is>
      </c>
      <c r="L1" s="84" t="inlineStr">
        <is>
          <t>Fecha_Proyectada</t>
        </is>
      </c>
      <c r="M1" s="84" t="inlineStr">
        <is>
          <t>Fecha_Real_Manual</t>
        </is>
      </c>
      <c r="N1" s="85" t="inlineStr">
        <is>
          <t>Fecha_Vigente</t>
        </is>
      </c>
      <c r="O1" s="86" t="inlineStr">
        <is>
          <t>Dias_Restantes</t>
        </is>
      </c>
      <c r="P1" s="87" t="inlineStr">
        <is>
          <t>Respuesta</t>
        </is>
      </c>
      <c r="Q1" s="87" t="inlineStr">
        <is>
          <t>Descripción</t>
        </is>
      </c>
      <c r="R1" s="88" t="inlineStr">
        <is>
          <t>Descripción_respuesta</t>
        </is>
      </c>
    </row>
    <row r="2" ht="67.90000000000001" customHeight="1" thickBot="1">
      <c r="A2" s="92" t="n">
        <v>36</v>
      </c>
      <c r="B2" s="83" t="inlineStr">
        <is>
          <t>Decreto 10</t>
        </is>
      </c>
      <c r="C2" s="14" t="inlineStr">
        <is>
          <t>2024-2027</t>
        </is>
      </c>
      <c r="D2" s="14" t="inlineStr">
        <is>
          <t>Valorización</t>
        </is>
      </c>
      <c r="E2" s="14" t="inlineStr">
        <is>
          <t>Inicio de Estudio Zonal</t>
        </is>
      </c>
      <c r="F2" s="70" t="inlineStr">
        <is>
          <t>ep_tvaldes@colbun.cl</t>
        </is>
      </c>
      <c r="G2" s="14" t="inlineStr">
        <is>
          <t>Consultor</t>
        </is>
      </c>
      <c r="H2" s="14" t="n">
        <v>20</v>
      </c>
      <c r="I2" s="14" t="inlineStr">
        <is>
          <t>Hábiles</t>
        </is>
      </c>
      <c r="J2" s="14" t="inlineStr">
        <is>
          <t>Adjudicación / Contrato (Zonal)</t>
        </is>
      </c>
      <c r="K2" s="15" t="n">
        <v>44859</v>
      </c>
      <c r="L2" s="15" t="n">
        <v>45678</v>
      </c>
      <c r="M2" s="40" t="n">
        <v>45645</v>
      </c>
      <c r="N2" s="82">
        <f>IF(ISBLANK(M2),L2,M2)</f>
        <v/>
      </c>
      <c r="O2" s="48">
        <f>N2-TODAY()</f>
        <v/>
      </c>
      <c r="P2" s="89" t="inlineStr">
        <is>
          <t>No</t>
        </is>
      </c>
      <c r="Q2" s="89" t="inlineStr">
        <is>
          <t>Inicio administrativo del contrato con la consultora.</t>
        </is>
      </c>
      <c r="R2" s="89" t="inlineStr">
        <is>
          <t>Descargar y distribuir el documento internamente para su análisis técnico/económico inmediato, preparándose para la siguiente etapa de observaciones.</t>
        </is>
      </c>
    </row>
    <row r="3" ht="67.90000000000001" customHeight="1" thickBot="1">
      <c r="A3" s="51" t="n">
        <v>37</v>
      </c>
      <c r="B3" s="14" t="inlineStr">
        <is>
          <t>Decreto 10</t>
        </is>
      </c>
      <c r="C3" s="28" t="inlineStr">
        <is>
          <t>2024-2027</t>
        </is>
      </c>
      <c r="D3" s="28" t="inlineStr">
        <is>
          <t>Valorización</t>
        </is>
      </c>
      <c r="E3" s="28" t="inlineStr">
        <is>
          <t>Observaciones Informe Avance 1 V3 (Zonal)</t>
        </is>
      </c>
      <c r="F3" s="28" t="inlineStr">
        <is>
          <t>ep_tvaldes@colbun.cl</t>
        </is>
      </c>
      <c r="G3" s="28" t="inlineStr">
        <is>
          <t>Participantes e interesados</t>
        </is>
      </c>
      <c r="H3" s="28" t="n">
        <v>15</v>
      </c>
      <c r="I3" s="14" t="inlineStr">
        <is>
          <t>Hábiles</t>
        </is>
      </c>
      <c r="J3" s="29" t="n"/>
      <c r="K3" s="15" t="n">
        <v>44970</v>
      </c>
      <c r="L3" s="15" t="n">
        <v>45671</v>
      </c>
      <c r="M3" s="79" t="n">
        <v>45793</v>
      </c>
      <c r="N3" s="82">
        <f>IF(ISBLANK(M3),L3,M3)</f>
        <v/>
      </c>
      <c r="O3" s="48">
        <f>N3-TODAY()</f>
        <v/>
      </c>
      <c r="P3" s="11" t="inlineStr">
        <is>
          <t>Si</t>
        </is>
      </c>
      <c r="Q3" s="11" t="inlineStr">
        <is>
          <t>Vencimiento de Plazo para ingresar observaciones formales ante la CNE impugnando el Informe de avance.</t>
        </is>
      </c>
      <c r="R3" s="11" t="inlineStr">
        <is>
          <t>Subir observaciones a la plataforma CNE.</t>
        </is>
      </c>
    </row>
    <row r="4" ht="67.90000000000001" customHeight="1" thickBot="1">
      <c r="A4" s="51" t="n">
        <v>38</v>
      </c>
      <c r="B4" s="14" t="inlineStr">
        <is>
          <t>Decreto 10</t>
        </is>
      </c>
      <c r="C4" s="28" t="inlineStr">
        <is>
          <t>2024-2027</t>
        </is>
      </c>
      <c r="D4" s="28" t="inlineStr">
        <is>
          <t>Valorización</t>
        </is>
      </c>
      <c r="E4" s="28" t="inlineStr">
        <is>
          <t>Informe Avance 2 (Zonal)</t>
        </is>
      </c>
      <c r="F4" s="28" t="inlineStr">
        <is>
          <t>ep_tvaldes@colbun.cl</t>
        </is>
      </c>
      <c r="G4" s="28" t="inlineStr">
        <is>
          <t>Consultor</t>
        </is>
      </c>
      <c r="H4" s="28" t="n">
        <v>130</v>
      </c>
      <c r="I4" s="14" t="inlineStr">
        <is>
          <t>Corridos</t>
        </is>
      </c>
      <c r="J4" s="29" t="inlineStr">
        <is>
          <t>Inicio de Estudio Nacional</t>
        </is>
      </c>
      <c r="K4" s="15">
        <f>IF(I4="Corridos",H4+K2,WORKDAY(K2,H4,Tabla4[Fecha]))</f>
        <v/>
      </c>
      <c r="L4" s="15">
        <f>IF(I4="Corridos",H4+M2,WORKDAY(M2,H4,Tabla4[Fecha]))</f>
        <v/>
      </c>
      <c r="M4" s="79" t="n">
        <v>46080</v>
      </c>
      <c r="N4" s="82">
        <f>IF(ISBLANK(M4),L4,M4)</f>
        <v/>
      </c>
      <c r="O4" s="48">
        <f>N4-TODAY()</f>
        <v/>
      </c>
      <c r="P4" s="11" t="inlineStr">
        <is>
          <t>No</t>
        </is>
      </c>
      <c r="Q4" s="11" t="inlineStr">
        <is>
          <t>Entrega del segundo informe de resultados por parte del Consultor. Contiene la valoración actualizada de las instalaciones zonales tras la revisión del Informe 1.</t>
        </is>
      </c>
      <c r="R4" s="11" t="inlineStr">
        <is>
          <t>Descargar el informe y realizar auditoría interna inmediata de los valores asignados a sus instalaciones (V.I., A.V.I., COMA) para preparar las observaciones del siguiente hito.</t>
        </is>
      </c>
    </row>
    <row r="5" ht="128.45" customHeight="1" thickBot="1">
      <c r="A5" s="51" t="n">
        <v>39</v>
      </c>
      <c r="B5" s="14" t="inlineStr">
        <is>
          <t>Decreto 10</t>
        </is>
      </c>
      <c r="C5" s="28" t="inlineStr">
        <is>
          <t>2024-2027</t>
        </is>
      </c>
      <c r="D5" s="28" t="inlineStr">
        <is>
          <t>Valorización</t>
        </is>
      </c>
      <c r="E5" s="28" t="inlineStr">
        <is>
          <t>Observaciones Informe Avance 2 (Zonal)</t>
        </is>
      </c>
      <c r="F5" s="28" t="inlineStr">
        <is>
          <t>ep_tvaldes@colbun.cl</t>
        </is>
      </c>
      <c r="G5" s="28" t="inlineStr">
        <is>
          <t>Participantes e interesados</t>
        </is>
      </c>
      <c r="H5" s="28" t="n">
        <v>15</v>
      </c>
      <c r="I5" s="14" t="inlineStr">
        <is>
          <t>Hábiles</t>
        </is>
      </c>
      <c r="J5" s="29" t="n"/>
      <c r="K5" s="15">
        <f>IF(I5="Corridos",H5+K4,WORKDAY(K4,H5,Tabla4[Fecha]))</f>
        <v/>
      </c>
      <c r="L5" s="15">
        <f>IF(I5="Corridos",H5+N4,WORKDAY(N4,H5,Tabla4[Fecha]))</f>
        <v/>
      </c>
      <c r="M5" s="79" t="n"/>
      <c r="N5" s="82">
        <f>IF(ISBLANK(M5),L5,M5)</f>
        <v/>
      </c>
      <c r="O5" s="48">
        <f>N5-TODAY()</f>
        <v/>
      </c>
      <c r="P5" s="11" t="inlineStr">
        <is>
          <t>Si</t>
        </is>
      </c>
      <c r="Q5" s="11" t="inlineStr">
        <is>
          <t>Plazo normativo para que los Participantes presenten observaciones formales, correcciones o reparos técnicos al segundo informe entregado por el Consultor</t>
        </is>
      </c>
      <c r="R5" s="11" t="inlineStr">
        <is>
          <t>Consolidar los hallazgos de la revisión interna y remitir formalmente el documento de observaciones al Consultor/CNE.</t>
        </is>
      </c>
    </row>
    <row r="6" ht="33" customHeight="1" thickBot="1">
      <c r="A6" s="51" t="n">
        <v>44</v>
      </c>
      <c r="B6" s="14" t="inlineStr">
        <is>
          <t>Decreto 10</t>
        </is>
      </c>
      <c r="C6" s="28" t="inlineStr">
        <is>
          <t>2024-2027</t>
        </is>
      </c>
      <c r="D6" s="28" t="inlineStr">
        <is>
          <t>Valorización</t>
        </is>
      </c>
      <c r="E6" s="28" t="inlineStr">
        <is>
          <t>Informe Preliminar (Zonal)</t>
        </is>
      </c>
      <c r="F6" s="28" t="inlineStr">
        <is>
          <t>ep_tvaldes@colbun.cl</t>
        </is>
      </c>
      <c r="G6" s="28" t="inlineStr">
        <is>
          <t>Consultor</t>
        </is>
      </c>
      <c r="H6" s="28" t="n">
        <v>180</v>
      </c>
      <c r="I6" s="14" t="inlineStr">
        <is>
          <t>Corridos</t>
        </is>
      </c>
      <c r="J6" s="29" t="inlineStr">
        <is>
          <t>Inicio de Estudio Nacional</t>
        </is>
      </c>
      <c r="K6" s="15">
        <f>IF(I6="Corridos",H6+K2,WORKDAY(K2,H6,Tabla4[Fecha]))</f>
        <v/>
      </c>
      <c r="L6" s="15">
        <f>IF(I6="Corridos",H6+N2,WORKDAY(N2,H6,Tabla4[Fecha]))</f>
        <v/>
      </c>
      <c r="M6" s="79" t="n">
        <v>46104</v>
      </c>
      <c r="N6" s="82">
        <f>IF(ISBLANK(M6),L6,M6)</f>
        <v/>
      </c>
      <c r="O6" s="48">
        <f>N6-TODAY()</f>
        <v/>
      </c>
      <c r="P6" s="11" t="inlineStr">
        <is>
          <t>No</t>
        </is>
      </c>
      <c r="Q6" s="11" t="inlineStr">
        <is>
          <t>Entrega por parte del Consultor del informe consolidado del estudio. Presenta la propuesta completa de valorización</t>
        </is>
      </c>
      <c r="R6" s="11" t="inlineStr">
        <is>
          <t>Descargar el informe y realizar la revisión más exhaustiva del proceso. Es la base para preparar las observaciones críticas del siguiente hito.</t>
        </is>
      </c>
    </row>
    <row r="7" ht="33" customHeight="1" thickBot="1">
      <c r="A7" s="51" t="n">
        <v>45</v>
      </c>
      <c r="B7" s="14" t="inlineStr">
        <is>
          <t>Decreto 10</t>
        </is>
      </c>
      <c r="C7" s="28" t="inlineStr">
        <is>
          <t>2024-2027</t>
        </is>
      </c>
      <c r="D7" s="28" t="inlineStr">
        <is>
          <t>Valorización</t>
        </is>
      </c>
      <c r="E7" s="28" t="inlineStr">
        <is>
          <t>Observaciones Informe Preliminar (Zonal)</t>
        </is>
      </c>
      <c r="F7" s="28" t="inlineStr">
        <is>
          <t>ep_tvaldes@colbun.cl</t>
        </is>
      </c>
      <c r="G7" s="28" t="inlineStr">
        <is>
          <t>Participantes e interesados</t>
        </is>
      </c>
      <c r="H7" s="28" t="n">
        <v>15</v>
      </c>
      <c r="I7" s="14" t="inlineStr">
        <is>
          <t>Hábiles</t>
        </is>
      </c>
      <c r="J7" s="29" t="n"/>
      <c r="K7" s="15">
        <f>IF(I7="Corridos",H7+K6,WORKDAY(K6,H7,Tabla4[Fecha]))</f>
        <v/>
      </c>
      <c r="L7" s="15">
        <f>IF(I7="Corridos",H7+N6,WORKDAY(N6,H7,Tabla4[Fecha]))</f>
        <v/>
      </c>
      <c r="M7" s="79" t="n"/>
      <c r="N7" s="82">
        <f>IF(ISBLANK(M7),L7,M7)</f>
        <v/>
      </c>
      <c r="O7" s="48">
        <f>N7-TODAY()</f>
        <v/>
      </c>
      <c r="P7" s="11" t="inlineStr">
        <is>
          <t>Si</t>
        </is>
      </c>
      <c r="Q7" s="11" t="inlineStr">
        <is>
          <t>Ventana legal para presentar observaciones formales ante la CNE respecto al Informe Técnico Preliminar.</t>
        </is>
      </c>
      <c r="R7" s="11" t="inlineStr">
        <is>
          <t>Enviar documento formal a la CNE con los reparos técnicos/económicos.</t>
        </is>
      </c>
    </row>
    <row r="8" ht="33" customHeight="1" thickBot="1">
      <c r="A8" s="51" t="n">
        <v>46</v>
      </c>
      <c r="B8" s="14" t="inlineStr">
        <is>
          <t>Decreto 10</t>
        </is>
      </c>
      <c r="C8" s="28" t="inlineStr">
        <is>
          <t>2024-2027</t>
        </is>
      </c>
      <c r="D8" s="28" t="inlineStr">
        <is>
          <t>Valorización</t>
        </is>
      </c>
      <c r="E8" s="28" t="inlineStr">
        <is>
          <t>Informe Final (Zonal)</t>
        </is>
      </c>
      <c r="F8" s="28" t="inlineStr">
        <is>
          <t>ep_tvaldes@colbun.cl</t>
        </is>
      </c>
      <c r="G8" s="28" t="inlineStr">
        <is>
          <t>Consultor</t>
        </is>
      </c>
      <c r="H8" s="28" t="n">
        <v>220</v>
      </c>
      <c r="I8" s="14" t="inlineStr">
        <is>
          <t>Corridos</t>
        </is>
      </c>
      <c r="J8" s="29" t="inlineStr">
        <is>
          <t>Inicio de Estudio Nacional</t>
        </is>
      </c>
      <c r="K8" s="15">
        <f>IF(I8="Corridos",H8+K2,WORKDAY(K2,H8,Tabla4[Fecha]))</f>
        <v/>
      </c>
      <c r="L8" s="15">
        <f>IF(I8="Corridos",H8+N2,WORKDAY(N2,H8,Tabla4[Fecha]))</f>
        <v/>
      </c>
      <c r="M8" s="79" t="n">
        <v>46142</v>
      </c>
      <c r="N8" s="82">
        <f>IF(ISBLANK(M8),L8,M8)</f>
        <v/>
      </c>
      <c r="O8" s="48">
        <f>N8-TODAY()</f>
        <v/>
      </c>
      <c r="P8" s="11" t="inlineStr">
        <is>
          <t>No</t>
        </is>
      </c>
      <c r="Q8" s="11" t="inlineStr">
        <is>
          <t>Emisión por parte de la CNE del Informe Técnico Final, donde se aceptan o rechazan fundadamente las observaciones realizadas al Informe Preliminar.</t>
        </is>
      </c>
      <c r="R8" s="11" t="inlineStr">
        <is>
          <t>Analizar el Informe Final para verificar si las observaciones presentadas anteriormente fueron acogidas.</t>
        </is>
      </c>
    </row>
    <row r="9" ht="33" customHeight="1" thickBot="1">
      <c r="A9" s="51" t="n">
        <v>47</v>
      </c>
      <c r="B9" s="14" t="inlineStr">
        <is>
          <t>Decreto 10</t>
        </is>
      </c>
      <c r="C9" s="28" t="inlineStr">
        <is>
          <t>2024-2027</t>
        </is>
      </c>
      <c r="D9" s="28" t="inlineStr">
        <is>
          <t>Valorización</t>
        </is>
      </c>
      <c r="E9" s="28" t="inlineStr">
        <is>
          <t>Observaciones Informe Final (Zonal)</t>
        </is>
      </c>
      <c r="F9" s="28" t="inlineStr">
        <is>
          <t>ep_tvaldes@colbun.cl</t>
        </is>
      </c>
      <c r="G9" s="28" t="inlineStr">
        <is>
          <t>Participantes e interesados</t>
        </is>
      </c>
      <c r="H9" s="28" t="n">
        <v>10</v>
      </c>
      <c r="I9" s="14" t="inlineStr">
        <is>
          <t>Hábiles</t>
        </is>
      </c>
      <c r="J9" s="29" t="n"/>
      <c r="K9" s="15">
        <f>IF(I9="Corridos",H9+K8,WORKDAY(K8,H9,Tabla4[Fecha]))</f>
        <v/>
      </c>
      <c r="L9" s="15">
        <f>IF(I9="Corridos",H9+N8,WORKDAY(N8,H9,Tabla4[Fecha]))</f>
        <v/>
      </c>
      <c r="M9" s="79" t="n"/>
      <c r="N9" s="82">
        <f>IF(ISBLANK(M9),L9,M9)</f>
        <v/>
      </c>
      <c r="O9" s="48">
        <f>N9-TODAY()</f>
        <v/>
      </c>
      <c r="P9" s="11" t="inlineStr">
        <is>
          <t>Si</t>
        </is>
      </c>
      <c r="Q9" s="11" t="inlineStr">
        <is>
          <t>Plazo límite para presentar Discrepancias ante el Panel de Expertos si se mantienen desacuerdos con el Informe Final de la CNE.</t>
        </is>
      </c>
      <c r="R9" s="11" t="inlineStr">
        <is>
          <t>Si persisten diferencias económicas relevantes tras el Informe Final, redactar y presentar el escrito de discrepancia ante el Panel de Expertos</t>
        </is>
      </c>
    </row>
    <row r="10" ht="33" customHeight="1" thickBot="1">
      <c r="A10" s="51" t="n">
        <v>48</v>
      </c>
      <c r="B10" s="14" t="inlineStr">
        <is>
          <t>Decreto 10</t>
        </is>
      </c>
      <c r="C10" s="28" t="inlineStr">
        <is>
          <t>2024-2027</t>
        </is>
      </c>
      <c r="D10" s="28" t="inlineStr">
        <is>
          <t>Valorización</t>
        </is>
      </c>
      <c r="E10" s="28" t="inlineStr">
        <is>
          <t>Informe Definitivo (Zonal)</t>
        </is>
      </c>
      <c r="F10" s="28" t="inlineStr">
        <is>
          <t>ep_tvaldes@colbun.cl</t>
        </is>
      </c>
      <c r="G10" s="28" t="inlineStr">
        <is>
          <t>Consultor</t>
        </is>
      </c>
      <c r="H10" s="28" t="n">
        <v>10</v>
      </c>
      <c r="I10" s="14" t="inlineStr">
        <is>
          <t>Hábiles</t>
        </is>
      </c>
      <c r="J10" s="29" t="n"/>
      <c r="K10" s="15">
        <f>IF(I10="Corridos",H10+K9,WORKDAY(K9,H10,Tabla4[Fecha]))</f>
        <v/>
      </c>
      <c r="L10" s="15">
        <f>IF(I10="Corridos",H10+N9,WORKDAY(N9,H10,Tabla4[Fecha]))</f>
        <v/>
      </c>
      <c r="M10" s="79" t="n">
        <v>46174</v>
      </c>
      <c r="N10" s="82">
        <f>IF(ISBLANK(M10),L10,M10)</f>
        <v/>
      </c>
      <c r="O10" s="48">
        <f>N10-TODAY()</f>
        <v/>
      </c>
      <c r="P10" s="11" t="inlineStr">
        <is>
          <t>No</t>
        </is>
      </c>
      <c r="Q10" s="11" t="inlineStr">
        <is>
          <t>Emisión por la CNE del Informe Técnico Definitivo. Consolida los valores finales tras incorporar, si las hubo, las correcciones dictaminadas por el Panel de Expertos.</t>
        </is>
      </c>
      <c r="R10" s="11" t="inlineStr">
        <is>
          <t>Auditar que el informe haya incorporado correctamente los dictámenes ganados en el Panel de Expertos.</t>
        </is>
      </c>
    </row>
    <row r="11" ht="33" customHeight="1" thickBot="1">
      <c r="A11" s="51" t="n">
        <v>49</v>
      </c>
      <c r="B11" s="14" t="inlineStr">
        <is>
          <t>Decreto 10</t>
        </is>
      </c>
      <c r="C11" s="28" t="inlineStr">
        <is>
          <t>2024-2027</t>
        </is>
      </c>
      <c r="D11" s="28" t="inlineStr">
        <is>
          <t>Valorización</t>
        </is>
      </c>
      <c r="E11" s="28" t="inlineStr">
        <is>
          <t>Convocatoria Audiencia Pública (Zonal)</t>
        </is>
      </c>
      <c r="F11" s="28" t="inlineStr">
        <is>
          <t>ep_tvaldes@colbun.cl</t>
        </is>
      </c>
      <c r="G11" s="28" t="inlineStr">
        <is>
          <t>CNE</t>
        </is>
      </c>
      <c r="H11" s="28" t="n">
        <v>5</v>
      </c>
      <c r="I11" s="14" t="inlineStr">
        <is>
          <t>Hábiles</t>
        </is>
      </c>
      <c r="J11" s="29" t="n"/>
      <c r="K11" s="15">
        <f>IF(I11="Corridos",H11+K10,WORKDAY(K10,H11,Tabla4[Fecha]))</f>
        <v/>
      </c>
      <c r="L11" s="15">
        <f>IF(I11="Corridos",H11+N10,WORKDAY(N10,H11,Tabla4[Fecha]))</f>
        <v/>
      </c>
      <c r="M11" s="79" t="n"/>
      <c r="N11" s="82">
        <f>IF(ISBLANK(M11),L11,M11)</f>
        <v/>
      </c>
      <c r="O11" s="48">
        <f>N11-TODAY()</f>
        <v/>
      </c>
      <c r="P11" s="11" t="inlineStr">
        <is>
          <t>Si</t>
        </is>
      </c>
      <c r="Q11" s="11" t="inlineStr">
        <is>
          <t>La CNE cita oficialmente a las partes. Se fija fecha y hora.</t>
        </is>
      </c>
      <c r="R11" s="63" t="inlineStr">
        <is>
          <t>Confirmar recepción de citación</t>
        </is>
      </c>
    </row>
    <row r="12" ht="33" customHeight="1" thickBot="1">
      <c r="A12" s="51" t="n">
        <v>50</v>
      </c>
      <c r="B12" s="14" t="inlineStr">
        <is>
          <t>Decreto 10</t>
        </is>
      </c>
      <c r="C12" s="28" t="inlineStr">
        <is>
          <t>2024-2027</t>
        </is>
      </c>
      <c r="D12" s="28" t="inlineStr">
        <is>
          <t>Valorización</t>
        </is>
      </c>
      <c r="E12" s="28" t="inlineStr">
        <is>
          <t>Presentación Nomina de Asistentes</t>
        </is>
      </c>
      <c r="F12" s="28" t="inlineStr">
        <is>
          <t>ep_tvaldes@colbun.cl</t>
        </is>
      </c>
      <c r="G12" s="28" t="inlineStr">
        <is>
          <t>Participantes e interesados</t>
        </is>
      </c>
      <c r="H12" s="28" t="n">
        <v>3</v>
      </c>
      <c r="I12" s="14" t="inlineStr">
        <is>
          <t>Hábiles</t>
        </is>
      </c>
      <c r="J12" s="29" t="n"/>
      <c r="K12" s="15">
        <f>IF(I12="Corridos",H12+K11,WORKDAY(K11,H12,Tabla4[Fecha]))</f>
        <v/>
      </c>
      <c r="L12" s="15">
        <f>IF(I12="Corridos",H12+N11,WORKDAY(N11,H12,Tabla4[Fecha]))</f>
        <v/>
      </c>
      <c r="M12" s="79" t="n"/>
      <c r="N12" s="82">
        <f>IF(ISBLANK(M12),L12,M12)</f>
        <v/>
      </c>
      <c r="O12" s="48">
        <f>N12-TODAY()</f>
        <v/>
      </c>
      <c r="P12" s="11" t="inlineStr">
        <is>
          <t>Si</t>
        </is>
      </c>
      <c r="Q12" s="11" t="inlineStr">
        <is>
          <t>Plazo administrativo previo a la audiencia para informar a la CNE los nombres y RUT de quienes asistirán.</t>
        </is>
      </c>
      <c r="R12" s="63" t="inlineStr">
        <is>
          <t>Enviar correo al secretario de la CNE con la lista.</t>
        </is>
      </c>
    </row>
    <row r="13" ht="27.6" customHeight="1" thickBot="1">
      <c r="A13" s="93" t="n">
        <v>51</v>
      </c>
      <c r="B13" s="28" t="inlineStr">
        <is>
          <t>Decreto 10</t>
        </is>
      </c>
      <c r="C13" s="28" t="inlineStr">
        <is>
          <t>2024-2027</t>
        </is>
      </c>
      <c r="D13" s="28" t="inlineStr">
        <is>
          <t>Valorización</t>
        </is>
      </c>
      <c r="E13" s="28" t="inlineStr">
        <is>
          <t>Audiencia Pública</t>
        </is>
      </c>
      <c r="F13" s="28" t="inlineStr">
        <is>
          <t>ep_tvaldes@colbun.cl</t>
        </is>
      </c>
      <c r="G13" s="28" t="inlineStr">
        <is>
          <t>Todos</t>
        </is>
      </c>
      <c r="H13" s="28" t="n">
        <v>10</v>
      </c>
      <c r="I13" s="14" t="inlineStr">
        <is>
          <t>Hábiles</t>
        </is>
      </c>
      <c r="J13" s="29" t="n"/>
      <c r="K13" s="15">
        <f>IF(I13="Corridos",H13+K11,WORKDAY(K11,H13,Tabla4[Fecha]))</f>
        <v/>
      </c>
      <c r="L13" s="15">
        <f>IF(I13="Corridos",H13+N11,WORKDAY(N11,H13,Tabla4[Fecha]))</f>
        <v/>
      </c>
      <c r="M13" s="79" t="n"/>
      <c r="N13" s="82">
        <f>IF(ISBLANK(M13),L13,M13)</f>
        <v/>
      </c>
      <c r="O13" s="48">
        <f>N13-TODAY()</f>
        <v/>
      </c>
      <c r="P13" s="11" t="inlineStr">
        <is>
          <t>Si</t>
        </is>
      </c>
      <c r="Q13" s="11" t="inlineStr">
        <is>
          <t>Sesión oral ante la CNE e Interasados.</t>
        </is>
      </c>
      <c r="R13" s="63" t="inlineStr">
        <is>
          <t>Consultores deben presentarse y exponer.</t>
        </is>
      </c>
    </row>
    <row r="14" hidden="1" ht="40.15" customHeight="1" thickBot="1">
      <c r="A14" s="54" t="n"/>
      <c r="B14" s="9" t="inlineStr">
        <is>
          <t>Decreto 10</t>
        </is>
      </c>
      <c r="C14" s="9" t="inlineStr">
        <is>
          <t>2024-2027</t>
        </is>
      </c>
      <c r="D14" s="9" t="inlineStr">
        <is>
          <t>Valorización</t>
        </is>
      </c>
      <c r="E14" s="9" t="inlineStr">
        <is>
          <t>Informe Técnico Valorización Preliminar</t>
        </is>
      </c>
      <c r="F14" s="9" t="inlineStr">
        <is>
          <t>ep_tvaldes@colbun.cl</t>
        </is>
      </c>
      <c r="G14" s="9" t="inlineStr">
        <is>
          <t>CNE</t>
        </is>
      </c>
      <c r="H14" s="9" t="n">
        <v>90</v>
      </c>
      <c r="I14" s="9" t="inlineStr">
        <is>
          <t>Hábiles</t>
        </is>
      </c>
      <c r="J14" s="10" t="n"/>
      <c r="K14" s="11">
        <f>IF(I14="Corridos",H14+MAX(K13,K33),WORKDAY(MAX(K13,K33),H14,Tabla4[Fecha]))</f>
        <v/>
      </c>
      <c r="L14" s="11">
        <f>IF(I14="Corridos",H14+MAX(N13,N33),WORKDAY(MAX(N13,N33),H14,Tabla4[Fecha]))</f>
        <v/>
      </c>
      <c r="M14" s="11" t="n"/>
      <c r="N14" s="62">
        <f>IF(ISBLANK(M14),L14,M14)</f>
        <v/>
      </c>
      <c r="O14" s="48">
        <f>N14-TODAY()</f>
        <v/>
      </c>
    </row>
    <row r="15" hidden="1" ht="53.45" customHeight="1" thickBot="1">
      <c r="A15" s="54" t="n"/>
      <c r="B15" s="9" t="inlineStr">
        <is>
          <t>Decreto 10</t>
        </is>
      </c>
      <c r="C15" s="9" t="inlineStr">
        <is>
          <t>2024-2027</t>
        </is>
      </c>
      <c r="D15" s="9" t="inlineStr">
        <is>
          <t>Valorización</t>
        </is>
      </c>
      <c r="E15" s="9" t="inlineStr">
        <is>
          <t>Observaciones Informe Técnico Valorización Preliminar</t>
        </is>
      </c>
      <c r="F15" s="9" t="inlineStr">
        <is>
          <t>ep_tvaldes@colbun.cl</t>
        </is>
      </c>
      <c r="G15" s="9" t="inlineStr">
        <is>
          <t>Participantes e interesados</t>
        </is>
      </c>
      <c r="H15" s="9" t="n">
        <v>10</v>
      </c>
      <c r="I15" s="9" t="inlineStr">
        <is>
          <t>Hábiles</t>
        </is>
      </c>
      <c r="J15" s="10" t="n"/>
      <c r="K15" s="11">
        <f>IF(I14="Corridos",H14+K14,WORKDAY(K14,H14,Tabla4[Fecha]))</f>
        <v/>
      </c>
      <c r="L15" s="11">
        <f>IF(I15="Corridos",H15+N14,WORKDAY(N14,H15,Tabla4[Fecha]))</f>
        <v/>
      </c>
      <c r="M15" s="11" t="n"/>
      <c r="N15" s="11">
        <f>IF(ISBLANK(M15),L15,M15)</f>
        <v/>
      </c>
      <c r="O15" s="48">
        <f>N15-TODAY()</f>
        <v/>
      </c>
    </row>
    <row r="16" hidden="1" ht="27" customHeight="1" thickBot="1">
      <c r="A16" s="54" t="n"/>
      <c r="B16" s="9" t="inlineStr">
        <is>
          <t>Decreto 10</t>
        </is>
      </c>
      <c r="C16" s="9" t="inlineStr">
        <is>
          <t>2024-2027</t>
        </is>
      </c>
      <c r="D16" s="9" t="inlineStr">
        <is>
          <t>Valorización</t>
        </is>
      </c>
      <c r="E16" s="9" t="inlineStr">
        <is>
          <t xml:space="preserve"> Informe Técnico Valorización Final</t>
        </is>
      </c>
      <c r="F16" s="9" t="inlineStr">
        <is>
          <t>ep_tvaldes@colbun.cl</t>
        </is>
      </c>
      <c r="G16" s="9" t="inlineStr">
        <is>
          <t>CNE</t>
        </is>
      </c>
      <c r="H16" s="9" t="n">
        <v>20</v>
      </c>
      <c r="I16" s="9" t="inlineStr">
        <is>
          <t>Hábiles</t>
        </is>
      </c>
      <c r="J16" s="10" t="n"/>
      <c r="K16" s="11">
        <f>IF(I15="Corridos",H15+K15,WORKDAY(K15,H15,Tabla4[Fecha]))</f>
        <v/>
      </c>
      <c r="L16" s="11">
        <f>IF(I16="Corridos",H16+N15,WORKDAY(N15,H16,Tabla4[Fecha]))</f>
        <v/>
      </c>
      <c r="M16" s="11" t="n"/>
      <c r="N16" s="11">
        <f>IF(ISBLANK(M16),L16,M16)</f>
        <v/>
      </c>
      <c r="O16" s="48">
        <f>N16-TODAY()</f>
        <v/>
      </c>
    </row>
    <row r="17" hidden="1" ht="40.15" customHeight="1" thickBot="1">
      <c r="A17" s="54" t="n"/>
      <c r="B17" s="9" t="inlineStr">
        <is>
          <t>Decreto 10</t>
        </is>
      </c>
      <c r="C17" s="9" t="inlineStr">
        <is>
          <t>2024-2027</t>
        </is>
      </c>
      <c r="D17" s="9" t="inlineStr">
        <is>
          <t>Valorización</t>
        </is>
      </c>
      <c r="E17" s="9" t="inlineStr">
        <is>
          <t>Presentación de Discrepancias al Panel de Expertos</t>
        </is>
      </c>
      <c r="F17" s="9" t="inlineStr">
        <is>
          <t>ep_tvaldes@colbun.cl</t>
        </is>
      </c>
      <c r="G17" s="9" t="inlineStr">
        <is>
          <t>Participantes e interesados</t>
        </is>
      </c>
      <c r="H17" s="9" t="n">
        <v>10</v>
      </c>
      <c r="I17" s="9" t="inlineStr">
        <is>
          <t>Hábiles</t>
        </is>
      </c>
      <c r="J17" s="10" t="n"/>
      <c r="K17" s="11">
        <f>IF(I16="Corridos",H16+K16,WORKDAY(K16,H16,Tabla4[Fecha]))</f>
        <v/>
      </c>
      <c r="L17" s="11">
        <f>IF(I17="Corridos",H17+N16,WORKDAY(N16,H17,Tabla4[Fecha]))</f>
        <v/>
      </c>
      <c r="M17" s="11" t="n"/>
      <c r="N17" s="11">
        <f>IF(ISBLANK(M17),L17,M17)</f>
        <v/>
      </c>
      <c r="O17" s="48">
        <f>N17-TODAY()</f>
        <v/>
      </c>
    </row>
    <row r="18" hidden="1" ht="27" customHeight="1" thickBot="1">
      <c r="A18" s="54" t="n"/>
      <c r="B18" s="9" t="inlineStr">
        <is>
          <t>Decreto 10</t>
        </is>
      </c>
      <c r="C18" s="9" t="inlineStr">
        <is>
          <t>2024-2027</t>
        </is>
      </c>
      <c r="D18" s="9" t="inlineStr">
        <is>
          <t>Valorización</t>
        </is>
      </c>
      <c r="E18" s="9" t="inlineStr">
        <is>
          <t>Audiencia Panel de Expertos</t>
        </is>
      </c>
      <c r="F18" s="9" t="inlineStr">
        <is>
          <t>ep_tvaldes@colbun.cl</t>
        </is>
      </c>
      <c r="G18" s="9" t="inlineStr">
        <is>
          <t>Panel de Expertos</t>
        </is>
      </c>
      <c r="H18" s="9" t="n">
        <v>10</v>
      </c>
      <c r="I18" s="9" t="inlineStr">
        <is>
          <t>Hábiles</t>
        </is>
      </c>
      <c r="J18" s="10" t="n"/>
      <c r="K18" s="11">
        <f>IF(I17="Corridos",H17+K17,WORKDAY(K17,H17,Tabla4[Fecha]))</f>
        <v/>
      </c>
      <c r="L18" s="11">
        <f>IF(I18="Corridos",H18+N17,WORKDAY(N17,H18,Tabla4[Fecha]))</f>
        <v/>
      </c>
      <c r="M18" s="11" t="n"/>
      <c r="N18" s="11">
        <f>IF(ISBLANK(M18),L18,M18)</f>
        <v/>
      </c>
      <c r="O18" s="48">
        <f>N18-TODAY()</f>
        <v/>
      </c>
    </row>
    <row r="19" hidden="1" ht="27" customHeight="1" thickBot="1">
      <c r="A19" s="54" t="n"/>
      <c r="B19" s="9" t="inlineStr">
        <is>
          <t>Decreto 10</t>
        </is>
      </c>
      <c r="C19" s="9" t="inlineStr">
        <is>
          <t>2024-2027</t>
        </is>
      </c>
      <c r="D19" s="9" t="inlineStr">
        <is>
          <t>Valorización</t>
        </is>
      </c>
      <c r="E19" s="9" t="inlineStr">
        <is>
          <t>Dictamen Panel de Expertos</t>
        </is>
      </c>
      <c r="F19" s="9" t="inlineStr">
        <is>
          <t>ep_tvaldes@colbun.cl</t>
        </is>
      </c>
      <c r="G19" s="9" t="inlineStr">
        <is>
          <t>Panel de Expertos</t>
        </is>
      </c>
      <c r="H19" s="9" t="n">
        <v>45</v>
      </c>
      <c r="I19" s="9" t="inlineStr">
        <is>
          <t>Hábiles</t>
        </is>
      </c>
      <c r="J19" s="10" t="n"/>
      <c r="K19" s="11">
        <f>IF(I18="Corridos",H18+K18,WORKDAY(K18,H18,Tabla4[Fecha]))</f>
        <v/>
      </c>
      <c r="L19" s="11">
        <f>IF(I19="Corridos",H19+N18,WORKDAY(N18,H19,Tabla4[Fecha]))</f>
        <v/>
      </c>
      <c r="M19" s="11" t="n"/>
      <c r="N19" s="11">
        <f>IF(ISBLANK(M19),L19,M19)</f>
        <v/>
      </c>
      <c r="O19" s="48">
        <f>N19-TODAY()</f>
        <v/>
      </c>
    </row>
    <row r="20" hidden="1" ht="40.15" customHeight="1" thickBot="1">
      <c r="A20" s="54" t="n"/>
      <c r="B20" s="9" t="inlineStr">
        <is>
          <t>Decreto 10</t>
        </is>
      </c>
      <c r="C20" s="9" t="inlineStr">
        <is>
          <t>2024-2027</t>
        </is>
      </c>
      <c r="D20" s="9" t="inlineStr">
        <is>
          <t>Valorización</t>
        </is>
      </c>
      <c r="E20" s="9" t="inlineStr">
        <is>
          <t>Informe Técnico de Valorización definitivo</t>
        </is>
      </c>
      <c r="F20" s="9" t="inlineStr">
        <is>
          <t>ep_tvaldes@colbun.cl</t>
        </is>
      </c>
      <c r="G20" s="9" t="inlineStr">
        <is>
          <t>CNE</t>
        </is>
      </c>
      <c r="H20" s="9" t="n">
        <v>20</v>
      </c>
      <c r="I20" s="9" t="inlineStr">
        <is>
          <t>Hábiles</t>
        </is>
      </c>
      <c r="J20" s="10" t="n"/>
      <c r="K20" s="11">
        <f>IF(I19="Corridos",H19+K19,WORKDAY(K19,H19,Tabla4[Fecha]))</f>
        <v/>
      </c>
      <c r="L20" s="11">
        <f>IF(I20="Corridos",H20+N19,WORKDAY(N19,H20,Tabla4[Fecha]))</f>
        <v/>
      </c>
      <c r="M20" s="11" t="n"/>
      <c r="N20" s="11">
        <f>IF(ISBLANK(M20),L20,M20)</f>
        <v/>
      </c>
      <c r="O20" s="48">
        <f>N20-TODAY()</f>
        <v/>
      </c>
    </row>
    <row r="21" hidden="1" ht="27" customHeight="1" thickBot="1">
      <c r="A21" s="54" t="n"/>
      <c r="B21" s="9" t="inlineStr">
        <is>
          <t>Decreto 10</t>
        </is>
      </c>
      <c r="C21" s="9" t="inlineStr">
        <is>
          <t>2024-2027</t>
        </is>
      </c>
      <c r="D21" s="9" t="inlineStr">
        <is>
          <t>Valorización</t>
        </is>
      </c>
      <c r="E21" s="9" t="inlineStr">
        <is>
          <t>Decreto Expedido</t>
        </is>
      </c>
      <c r="F21" s="9" t="inlineStr">
        <is>
          <t>ep_tvaldes@colbun.cl</t>
        </is>
      </c>
      <c r="G21" s="9" t="inlineStr">
        <is>
          <t>Ministerio de Energía</t>
        </is>
      </c>
      <c r="H21" s="9" t="n">
        <v>20</v>
      </c>
      <c r="I21" s="9" t="inlineStr">
        <is>
          <t>Hábiles</t>
        </is>
      </c>
      <c r="J21" s="10" t="n"/>
      <c r="K21" s="11">
        <f>IF(I20="Corridos",H20+K20,WORKDAY(K20,H20,Tabla4[Fecha]))</f>
        <v/>
      </c>
      <c r="L21" s="11">
        <f>IF(I21="Corridos",H21+N20,WORKDAY(N20,H21,Tabla4[Fecha]))</f>
        <v/>
      </c>
      <c r="M21" s="11" t="n"/>
      <c r="N21" s="11">
        <f>IF(ISBLANK(M21),L21,M21)</f>
        <v/>
      </c>
      <c r="O21" s="48">
        <f>N21-TODAY()</f>
        <v/>
      </c>
    </row>
    <row r="22" ht="51.6" customHeight="1" thickBot="1">
      <c r="A22" s="53" t="n">
        <v>65</v>
      </c>
      <c r="B22" s="21" t="inlineStr">
        <is>
          <t>Decreto 10</t>
        </is>
      </c>
      <c r="C22" s="21" t="inlineStr">
        <is>
          <t>2024-2027</t>
        </is>
      </c>
      <c r="D22" s="21" t="inlineStr">
        <is>
          <t>Valorización</t>
        </is>
      </c>
      <c r="E22" s="21" t="inlineStr">
        <is>
          <t>Inicio de Estudio Nacional</t>
        </is>
      </c>
      <c r="F22" s="21" t="inlineStr">
        <is>
          <t>ep_tvaldes@colbun.cl</t>
        </is>
      </c>
      <c r="G22" s="21" t="inlineStr">
        <is>
          <t>Consultor</t>
        </is>
      </c>
      <c r="H22" s="21" t="n">
        <v>20</v>
      </c>
      <c r="I22" s="21" t="inlineStr">
        <is>
          <t>Hábiles</t>
        </is>
      </c>
      <c r="J22" s="21" t="inlineStr">
        <is>
          <t>Adjudicación / Contrato (Zonal)</t>
        </is>
      </c>
      <c r="K22" s="23" t="n">
        <v>44859</v>
      </c>
      <c r="L22" s="23" t="n">
        <v>45700</v>
      </c>
      <c r="M22" s="23" t="n">
        <v>45728</v>
      </c>
      <c r="N22" s="3">
        <f>IF(ISBLANK(M22),L22,M22)</f>
        <v/>
      </c>
      <c r="O22" s="48">
        <f>N22-TODAY()</f>
        <v/>
      </c>
      <c r="P22" s="89" t="inlineStr">
        <is>
          <t>No</t>
        </is>
      </c>
      <c r="Q22" s="89" t="inlineStr">
        <is>
          <t>Inicio administrativo del contrato con la consultora.</t>
        </is>
      </c>
      <c r="R22" s="89" t="inlineStr">
        <is>
          <t>Descargar y distribuir el documento internamente para su análisis técnico/económico inmediato, preparándose para la siguiente etapa de observaciones.</t>
        </is>
      </c>
    </row>
    <row r="23" ht="51.6" customHeight="1" thickBot="1">
      <c r="A23" s="53" t="n">
        <v>66</v>
      </c>
      <c r="B23" s="21" t="inlineStr">
        <is>
          <t>Decreto 10</t>
        </is>
      </c>
      <c r="C23" s="21" t="inlineStr">
        <is>
          <t>2024-2027</t>
        </is>
      </c>
      <c r="D23" s="21" t="inlineStr">
        <is>
          <t>Valorización</t>
        </is>
      </c>
      <c r="E23" s="21" t="inlineStr">
        <is>
          <t>Observaciones Informe Avance 1 V3 (Nacional)</t>
        </is>
      </c>
      <c r="F23" s="21" t="inlineStr">
        <is>
          <t>ep_tvaldes@colbun.cl</t>
        </is>
      </c>
      <c r="G23" s="21" t="inlineStr">
        <is>
          <t>Participantes e interesados</t>
        </is>
      </c>
      <c r="H23" s="21" t="n">
        <v>15</v>
      </c>
      <c r="I23" s="21" t="inlineStr">
        <is>
          <t>Hábiles</t>
        </is>
      </c>
      <c r="J23" s="22" t="n"/>
      <c r="K23" s="23" t="n">
        <v>44970</v>
      </c>
      <c r="L23" s="23" t="n">
        <v>45855</v>
      </c>
      <c r="M23" s="23" t="n">
        <v>45842</v>
      </c>
      <c r="N23" s="3">
        <f>IF(ISBLANK(M23),L23,M23)</f>
        <v/>
      </c>
      <c r="O23" s="48">
        <f>N23-TODAY()</f>
        <v/>
      </c>
      <c r="P23" s="11" t="inlineStr">
        <is>
          <t>Si</t>
        </is>
      </c>
      <c r="Q23" s="11" t="inlineStr">
        <is>
          <t>Vencimiento de Plazo para ingresar observaciones formales ante la CNE impugnando el Informe de avance.</t>
        </is>
      </c>
      <c r="R23" s="11" t="inlineStr">
        <is>
          <t>Subir observaciones a la plataforma CNE.</t>
        </is>
      </c>
    </row>
    <row r="24" ht="51.6" customHeight="1" thickBot="1">
      <c r="A24" s="53" t="n">
        <v>67</v>
      </c>
      <c r="B24" s="21" t="inlineStr">
        <is>
          <t>Decreto 10</t>
        </is>
      </c>
      <c r="C24" s="21" t="inlineStr">
        <is>
          <t>2024-2027</t>
        </is>
      </c>
      <c r="D24" s="21" t="inlineStr">
        <is>
          <t>Valorización</t>
        </is>
      </c>
      <c r="E24" s="21" t="inlineStr">
        <is>
          <t>Informe Avance 2 (Nacional)</t>
        </is>
      </c>
      <c r="F24" s="21" t="inlineStr">
        <is>
          <t>ep_tvaldes@colbun.cl</t>
        </is>
      </c>
      <c r="G24" s="21" t="inlineStr">
        <is>
          <t>Consultor</t>
        </is>
      </c>
      <c r="H24" s="21" t="n">
        <v>130</v>
      </c>
      <c r="I24" s="21" t="inlineStr">
        <is>
          <t>Corridos</t>
        </is>
      </c>
      <c r="J24" s="21" t="inlineStr">
        <is>
          <t>Inicio de Estudio Nacional</t>
        </is>
      </c>
      <c r="K24" s="23">
        <f>IF(I24="Corridos",H24+K22,WORKDAY(K22,H24,Tabla4[Fecha]))</f>
        <v/>
      </c>
      <c r="L24" s="23">
        <f>IF(I24="Corridos",H24+N22,WORKDAY(N22,H24,Tabla4[Fecha]))</f>
        <v/>
      </c>
      <c r="M24" s="23" t="n">
        <v>46079</v>
      </c>
      <c r="N24" s="3">
        <f>IF(ISBLANK(M24),L24,M24)</f>
        <v/>
      </c>
      <c r="O24" s="48">
        <f>N24-TODAY()</f>
        <v/>
      </c>
      <c r="P24" s="11" t="inlineStr">
        <is>
          <t>No</t>
        </is>
      </c>
      <c r="Q24" s="11" t="inlineStr">
        <is>
          <t>Entrega del segundo informe de resultados por parte del Consultor. Contiene la valoración actualizada de las instalaciones zonales tras la revisión del Informe 1.</t>
        </is>
      </c>
      <c r="R24" s="11" t="inlineStr">
        <is>
          <t>Descargar el informe y realizar auditoría interna inmediata de los valores asignados a sus instalaciones (V.I., A.V.I., COMA) para preparar las observaciones del siguiente hito.</t>
        </is>
      </c>
    </row>
    <row r="25" ht="51.6" customHeight="1" thickBot="1">
      <c r="A25" s="53" t="n">
        <v>68</v>
      </c>
      <c r="B25" s="21" t="inlineStr">
        <is>
          <t>Decreto 10</t>
        </is>
      </c>
      <c r="C25" s="21" t="inlineStr">
        <is>
          <t>2024-2027</t>
        </is>
      </c>
      <c r="D25" s="21" t="inlineStr">
        <is>
          <t>Valorización</t>
        </is>
      </c>
      <c r="E25" s="21" t="inlineStr">
        <is>
          <t>Observaciones Informe Avance 2 (Zonal)</t>
        </is>
      </c>
      <c r="F25" s="21" t="inlineStr">
        <is>
          <t>ep_tvaldes@colbun.cl</t>
        </is>
      </c>
      <c r="G25" s="21" t="inlineStr">
        <is>
          <t>Participantes e interesados</t>
        </is>
      </c>
      <c r="H25" s="21" t="n">
        <v>15</v>
      </c>
      <c r="I25" s="21" t="inlineStr">
        <is>
          <t>Hábiles</t>
        </is>
      </c>
      <c r="J25" s="22" t="n"/>
      <c r="K25" s="23">
        <f>IF(I25="Corridos",H25+K24,WORKDAY(K24,H25,Tabla4[Fecha]))</f>
        <v/>
      </c>
      <c r="L25" s="23">
        <f>IF(I25="Corridos",H25+N24,WORKDAY(N24,H25,Tabla4[Fecha]))</f>
        <v/>
      </c>
      <c r="M25" s="23" t="n"/>
      <c r="N25" s="3">
        <f>IF(ISBLANK(M25),L25,M25)</f>
        <v/>
      </c>
      <c r="O25" s="48">
        <f>N25-TODAY()</f>
        <v/>
      </c>
      <c r="P25" s="11" t="inlineStr">
        <is>
          <t>Si</t>
        </is>
      </c>
      <c r="Q25" s="11" t="inlineStr">
        <is>
          <t>Plazo normativo para que los Participantes presenten observaciones formales, correcciones o reparos técnicos al segundo informe entregado por el Consultor</t>
        </is>
      </c>
      <c r="R25" s="11" t="inlineStr">
        <is>
          <t>Consolidar los hallazgos de la revisión interna y remitir formalmente el documento de observaciones al Consultor/CNE.</t>
        </is>
      </c>
    </row>
    <row r="26" ht="51.6" customHeight="1" thickBot="1">
      <c r="A26" s="53" t="n">
        <v>69</v>
      </c>
      <c r="B26" s="21" t="inlineStr">
        <is>
          <t>Decreto 10</t>
        </is>
      </c>
      <c r="C26" s="21" t="inlineStr">
        <is>
          <t>2024-2027</t>
        </is>
      </c>
      <c r="D26" s="21" t="inlineStr">
        <is>
          <t>Valorización</t>
        </is>
      </c>
      <c r="E26" s="21" t="inlineStr">
        <is>
          <t>Informe Preliminar (Nacional)</t>
        </is>
      </c>
      <c r="F26" s="21" t="inlineStr">
        <is>
          <t>ep_tvaldes@colbun.cl</t>
        </is>
      </c>
      <c r="G26" s="21" t="inlineStr">
        <is>
          <t>Consultor</t>
        </is>
      </c>
      <c r="H26" s="21" t="n">
        <v>180</v>
      </c>
      <c r="I26" s="21" t="inlineStr">
        <is>
          <t>Corridos</t>
        </is>
      </c>
      <c r="J26" s="21" t="inlineStr">
        <is>
          <t>Inicio de Estudio Nacional</t>
        </is>
      </c>
      <c r="K26" s="23">
        <f>IF(I26="Corridos",H26+K22,WORKDAY(K22,H26,Tabla4[Fecha]))</f>
        <v/>
      </c>
      <c r="L26" s="23">
        <f>IF(I26="Corridos",H26+M22,WORKDAY(M22,H26,Tabla4[Fecha]))</f>
        <v/>
      </c>
      <c r="M26" s="77" t="n">
        <v>46129</v>
      </c>
      <c r="N26" s="3">
        <f>IF(ISBLANK(M26),L26,M26)</f>
        <v/>
      </c>
      <c r="O26" s="48">
        <f>N26-TODAY()</f>
        <v/>
      </c>
      <c r="P26" s="11" t="inlineStr">
        <is>
          <t>No</t>
        </is>
      </c>
      <c r="Q26" s="11" t="inlineStr">
        <is>
          <t>Entrega por parte del Consultor del informe consolidado del estudio. Presenta la propuesta completa de valorización</t>
        </is>
      </c>
      <c r="R26" s="11" t="inlineStr">
        <is>
          <t>Descargar el informe y realizar la revisión más exhaustiva del proceso. Es la base para preparar las observaciones críticas del siguiente hito.</t>
        </is>
      </c>
    </row>
    <row r="27" ht="51.6" customHeight="1" thickBot="1">
      <c r="A27" s="53" t="n">
        <v>70</v>
      </c>
      <c r="B27" s="21" t="inlineStr">
        <is>
          <t>Decreto 10</t>
        </is>
      </c>
      <c r="C27" s="21" t="inlineStr">
        <is>
          <t>2024-2027</t>
        </is>
      </c>
      <c r="D27" s="21" t="inlineStr">
        <is>
          <t>Valorización</t>
        </is>
      </c>
      <c r="E27" s="21" t="inlineStr">
        <is>
          <t>Observaciones Informe Preliminar (Nacional)</t>
        </is>
      </c>
      <c r="F27" s="21" t="inlineStr">
        <is>
          <t>ep_tvaldes@colbun.cl</t>
        </is>
      </c>
      <c r="G27" s="21" t="inlineStr">
        <is>
          <t>Participantes e interesados</t>
        </is>
      </c>
      <c r="H27" s="21" t="n">
        <v>15</v>
      </c>
      <c r="I27" s="21" t="inlineStr">
        <is>
          <t>Hábiles</t>
        </is>
      </c>
      <c r="J27" s="22" t="n"/>
      <c r="K27" s="23">
        <f>IF(I27="Corridos",H27+K26,WORKDAY(K26,H27,Tabla4[Fecha]))</f>
        <v/>
      </c>
      <c r="L27" s="23">
        <f>IF(I27="Corridos",H27+N26,WORKDAY(N26,H27,Tabla4[Fecha]))</f>
        <v/>
      </c>
      <c r="M27" s="23" t="n"/>
      <c r="N27" s="3">
        <f>IF(ISBLANK(M27),L27,M27)</f>
        <v/>
      </c>
      <c r="O27" s="48">
        <f>N27-TODAY()</f>
        <v/>
      </c>
      <c r="P27" s="11" t="inlineStr">
        <is>
          <t>Si</t>
        </is>
      </c>
      <c r="Q27" s="11" t="inlineStr">
        <is>
          <t>Ventana legal para presentar observaciones formales ante la CNE respecto al Informe Técnico Preliminar.</t>
        </is>
      </c>
      <c r="R27" s="11" t="inlineStr">
        <is>
          <t>Enviar documento formal a la CNE con los reparos técnicos/económicos.</t>
        </is>
      </c>
    </row>
    <row r="28" ht="51.6" customHeight="1" thickBot="1">
      <c r="A28" s="53" t="n">
        <v>71</v>
      </c>
      <c r="B28" s="21" t="inlineStr">
        <is>
          <t>Decreto 10</t>
        </is>
      </c>
      <c r="C28" s="21" t="inlineStr">
        <is>
          <t>2024-2027</t>
        </is>
      </c>
      <c r="D28" s="21" t="inlineStr">
        <is>
          <t>Valorización</t>
        </is>
      </c>
      <c r="E28" s="21" t="inlineStr">
        <is>
          <t>Informe Final (Nacional)</t>
        </is>
      </c>
      <c r="F28" s="21" t="inlineStr">
        <is>
          <t>ep_tvaldes@colbun.cl</t>
        </is>
      </c>
      <c r="G28" s="21" t="inlineStr">
        <is>
          <t>Consultor</t>
        </is>
      </c>
      <c r="H28" s="21" t="n">
        <v>220</v>
      </c>
      <c r="I28" s="21" t="inlineStr">
        <is>
          <t>Corridos</t>
        </is>
      </c>
      <c r="J28" s="21" t="inlineStr">
        <is>
          <t>Inicio de Estudio Nacional</t>
        </is>
      </c>
      <c r="K28" s="23">
        <f>IF(I28="Corridos",H28+K22,WORKDAY(K22,H28,Tabla4[Fecha]))</f>
        <v/>
      </c>
      <c r="L28" s="23">
        <f>IF(I28="Corridos",H28+L27,WORKDAY(L27,H28,Tabla4[Fecha]))</f>
        <v/>
      </c>
      <c r="M28" s="77" t="n">
        <v>46169</v>
      </c>
      <c r="N28" s="3">
        <f>IF(ISBLANK(M28),L28,M28)</f>
        <v/>
      </c>
      <c r="O28" s="48">
        <f>N28-TODAY()</f>
        <v/>
      </c>
      <c r="P28" s="11" t="inlineStr">
        <is>
          <t>No</t>
        </is>
      </c>
      <c r="Q28" s="11" t="inlineStr">
        <is>
          <t>Emisión por parte de la CNE del Informe Técnico Final, donde se aceptan o rechazan fundadamente las observaciones realizadas al Informe Preliminar.</t>
        </is>
      </c>
      <c r="R28" s="11" t="inlineStr">
        <is>
          <t>Analizar el Informe Final para verificar si las observaciones presentadas anteriormente fueron acogidas.</t>
        </is>
      </c>
    </row>
    <row r="29" ht="51.6" customHeight="1" thickBot="1">
      <c r="A29" s="53" t="n">
        <v>72</v>
      </c>
      <c r="B29" s="21" t="inlineStr">
        <is>
          <t>Decreto 10</t>
        </is>
      </c>
      <c r="C29" s="21" t="inlineStr">
        <is>
          <t>2024-2027</t>
        </is>
      </c>
      <c r="D29" s="21" t="inlineStr">
        <is>
          <t>Valorización</t>
        </is>
      </c>
      <c r="E29" s="21" t="inlineStr">
        <is>
          <t>Observaciones Informe Final (Nacional)</t>
        </is>
      </c>
      <c r="F29" s="21" t="inlineStr">
        <is>
          <t>ep_tvaldes@colbun.cl</t>
        </is>
      </c>
      <c r="G29" s="21" t="inlineStr">
        <is>
          <t>Participantes e interesados</t>
        </is>
      </c>
      <c r="H29" s="21" t="n">
        <v>10</v>
      </c>
      <c r="I29" s="21" t="inlineStr">
        <is>
          <t>Hábiles</t>
        </is>
      </c>
      <c r="J29" s="22" t="n"/>
      <c r="K29" s="23">
        <f>IF(I29="Corridos",H29+K28,WORKDAY(K28,H29,Tabla4[Fecha]))</f>
        <v/>
      </c>
      <c r="L29" s="23">
        <f>IF(I29="Corridos",H29+N28,WORKDAY(N28,H29,Tabla4[Fecha]))</f>
        <v/>
      </c>
      <c r="M29" s="23" t="n"/>
      <c r="N29" s="3">
        <f>IF(ISBLANK(M29),L29,M29)</f>
        <v/>
      </c>
      <c r="O29" s="48">
        <f>N29-TODAY()</f>
        <v/>
      </c>
      <c r="P29" s="11" t="inlineStr">
        <is>
          <t>Si</t>
        </is>
      </c>
      <c r="Q29" s="11" t="inlineStr">
        <is>
          <t>Plazo límite para presentar Discrepancias ante el Panel de Expertos si se mantienen desacuerdos con el Informe Final de la CNE.</t>
        </is>
      </c>
      <c r="R29" s="11" t="inlineStr">
        <is>
          <t>Si persisten diferencias económicas relevantes tras el Informe Final, redactar y presentar el escrito de discrepancia ante el Panel de Expertos</t>
        </is>
      </c>
    </row>
    <row r="30" ht="51.6" customHeight="1" thickBot="1">
      <c r="A30" s="53" t="n">
        <v>73</v>
      </c>
      <c r="B30" s="21" t="inlineStr">
        <is>
          <t>Decreto 10</t>
        </is>
      </c>
      <c r="C30" s="21" t="inlineStr">
        <is>
          <t>2024-2027</t>
        </is>
      </c>
      <c r="D30" s="21" t="inlineStr">
        <is>
          <t>Valorización</t>
        </is>
      </c>
      <c r="E30" s="21" t="inlineStr">
        <is>
          <t>Informe Definitivo (Nacional)</t>
        </is>
      </c>
      <c r="F30" s="21" t="inlineStr">
        <is>
          <t>ep_tvaldes@colbun.cl</t>
        </is>
      </c>
      <c r="G30" s="21" t="inlineStr">
        <is>
          <t>Consultor</t>
        </is>
      </c>
      <c r="H30" s="21" t="n">
        <v>10</v>
      </c>
      <c r="I30" s="21" t="inlineStr">
        <is>
          <t>Hábiles</t>
        </is>
      </c>
      <c r="J30" s="22" t="n"/>
      <c r="K30" s="23">
        <f>IF(I30="Corridos",H30+K29,WORKDAY(K29,H30,Tabla4[Fecha]))</f>
        <v/>
      </c>
      <c r="L30" s="23">
        <f>IF(I30="Corridos",H30+N29,WORKDAY(N29,H30,Tabla4[Fecha]))</f>
        <v/>
      </c>
      <c r="M30" s="23" t="n"/>
      <c r="N30" s="3">
        <f>IF(ISBLANK(M30),L30,M30)</f>
        <v/>
      </c>
      <c r="O30" s="48">
        <f>N30-TODAY()</f>
        <v/>
      </c>
      <c r="P30" s="11" t="inlineStr">
        <is>
          <t>No</t>
        </is>
      </c>
      <c r="Q30" s="11" t="inlineStr">
        <is>
          <t>Emisión por la CNE del Informe Técnico Definitivo. Consolida los valores finales tras incorporar, si las hubo, las correcciones dictaminadas por el Panel de Expertos.</t>
        </is>
      </c>
      <c r="R30" s="11" t="inlineStr">
        <is>
          <t>Auditar que el informe haya incorporado correctamente los dictámenes ganados en el Panel de Expertos.</t>
        </is>
      </c>
    </row>
    <row r="31" ht="51.6" customHeight="1" thickBot="1">
      <c r="A31" s="53" t="n">
        <v>74</v>
      </c>
      <c r="B31" s="21" t="inlineStr">
        <is>
          <t>Decreto 10</t>
        </is>
      </c>
      <c r="C31" s="21" t="inlineStr">
        <is>
          <t>2024-2027</t>
        </is>
      </c>
      <c r="D31" s="21" t="inlineStr">
        <is>
          <t>Valorización</t>
        </is>
      </c>
      <c r="E31" s="21" t="inlineStr">
        <is>
          <t>Convocatoria Audiencia Pública (Nacional)</t>
        </is>
      </c>
      <c r="F31" s="21" t="inlineStr">
        <is>
          <t>ep_tvaldes@colbun.cl</t>
        </is>
      </c>
      <c r="G31" s="21" t="inlineStr">
        <is>
          <t>CNE</t>
        </is>
      </c>
      <c r="H31" s="21" t="n">
        <v>5</v>
      </c>
      <c r="I31" s="21" t="inlineStr">
        <is>
          <t>Hábiles</t>
        </is>
      </c>
      <c r="J31" s="22" t="n"/>
      <c r="K31" s="23">
        <f>IF(I31="Corridos",H31+K30,WORKDAY(K30,H31,Tabla4[Fecha]))</f>
        <v/>
      </c>
      <c r="L31" s="23">
        <f>IF(I31="Corridos",H31+N30,WORKDAY(N30,H31,Tabla4[Fecha]))</f>
        <v/>
      </c>
      <c r="M31" s="23" t="n"/>
      <c r="N31" s="3">
        <f>IF(ISBLANK(M31),L31,M31)</f>
        <v/>
      </c>
      <c r="O31" s="48">
        <f>N31-TODAY()</f>
        <v/>
      </c>
      <c r="P31" s="11" t="inlineStr">
        <is>
          <t>Si</t>
        </is>
      </c>
      <c r="Q31" s="11" t="inlineStr">
        <is>
          <t>La CNE cita oficialmente a las partes. Se fija fecha y hora.</t>
        </is>
      </c>
      <c r="R31" s="63" t="inlineStr">
        <is>
          <t>Confirmar recepción de citación</t>
        </is>
      </c>
    </row>
    <row r="32" ht="51.6" customHeight="1" thickBot="1">
      <c r="A32" s="53" t="n">
        <v>75</v>
      </c>
      <c r="B32" s="21" t="inlineStr">
        <is>
          <t>Decreto 10</t>
        </is>
      </c>
      <c r="C32" s="21" t="inlineStr">
        <is>
          <t>2024-2027</t>
        </is>
      </c>
      <c r="D32" s="21" t="inlineStr">
        <is>
          <t>Valorización</t>
        </is>
      </c>
      <c r="E32" s="21" t="inlineStr">
        <is>
          <t>Presentación Nomina de Asistentes</t>
        </is>
      </c>
      <c r="F32" s="21" t="inlineStr">
        <is>
          <t>ep_tvaldes@colbun.cl</t>
        </is>
      </c>
      <c r="G32" s="21" t="inlineStr">
        <is>
          <t>Participantes e interesados</t>
        </is>
      </c>
      <c r="H32" s="21" t="n">
        <v>3</v>
      </c>
      <c r="I32" s="21" t="inlineStr">
        <is>
          <t>Hábiles</t>
        </is>
      </c>
      <c r="J32" s="22" t="n"/>
      <c r="K32" s="23">
        <f>IF(I32="Corridos",H32+K31,WORKDAY(K31,H32,Tabla4[Fecha]))</f>
        <v/>
      </c>
      <c r="L32" s="23">
        <f>IF(I32="Corridos",H32+N31,WORKDAY(N31,H32,Tabla4[Fecha]))</f>
        <v/>
      </c>
      <c r="M32" s="23" t="n"/>
      <c r="N32" s="3">
        <f>IF(ISBLANK(M32),L32,M32)</f>
        <v/>
      </c>
      <c r="O32" s="48">
        <f>N32-TODAY()</f>
        <v/>
      </c>
      <c r="P32" s="11" t="inlineStr">
        <is>
          <t>Si</t>
        </is>
      </c>
      <c r="Q32" s="11" t="inlineStr">
        <is>
          <t>Plazo administrativo previo a la audiencia para informar a la CNE los nombres y RUT de quienes asistirán.</t>
        </is>
      </c>
      <c r="R32" s="63" t="inlineStr">
        <is>
          <t>Enviar correo al secretario de la CNE con la lista.</t>
        </is>
      </c>
    </row>
    <row r="33" ht="51.6" customHeight="1" thickBot="1">
      <c r="A33" s="53" t="n">
        <v>76</v>
      </c>
      <c r="B33" s="21" t="inlineStr">
        <is>
          <t>Decreto 10</t>
        </is>
      </c>
      <c r="C33" s="21" t="inlineStr">
        <is>
          <t>2024-2027</t>
        </is>
      </c>
      <c r="D33" s="21" t="inlineStr">
        <is>
          <t>Valorización</t>
        </is>
      </c>
      <c r="E33" s="21" t="inlineStr">
        <is>
          <t>Audiencia Publica</t>
        </is>
      </c>
      <c r="F33" s="21" t="inlineStr">
        <is>
          <t>ep_tvaldes@colbun.cl</t>
        </is>
      </c>
      <c r="G33" s="21" t="inlineStr">
        <is>
          <t>Todos</t>
        </is>
      </c>
      <c r="H33" s="21" t="n">
        <v>10</v>
      </c>
      <c r="I33" s="21" t="inlineStr">
        <is>
          <t>Hábiles</t>
        </is>
      </c>
      <c r="J33" s="22" t="n"/>
      <c r="K33" s="23">
        <f>IF(I33="Corridos",H33+K31,WORKDAY(K31,H33,Tabla4[Fecha]))</f>
        <v/>
      </c>
      <c r="L33" s="23">
        <f>IF(I33="Corridos",H33+N32,WORKDAY(N32,H33,Tabla4[Fecha]))</f>
        <v/>
      </c>
      <c r="M33" s="23" t="n"/>
      <c r="N33" s="3">
        <f>IF(ISBLANK(M33),L33,M33)</f>
        <v/>
      </c>
      <c r="O33" s="48">
        <f>N33-TODAY()</f>
        <v/>
      </c>
      <c r="P33" s="11" t="inlineStr">
        <is>
          <t>Si</t>
        </is>
      </c>
      <c r="Q33" s="11" t="inlineStr">
        <is>
          <t>Sesión oral ante la CNE e Interasados.</t>
        </is>
      </c>
      <c r="R33" s="63" t="inlineStr">
        <is>
          <t>Consultores deben presentarse y exponer.</t>
        </is>
      </c>
    </row>
    <row r="34" ht="40.15" customHeight="1" thickBot="1">
      <c r="A34" s="54" t="n"/>
      <c r="B34" s="9" t="inlineStr">
        <is>
          <t>Decreto 10</t>
        </is>
      </c>
      <c r="C34" s="9" t="inlineStr">
        <is>
          <t>2024-2027</t>
        </is>
      </c>
      <c r="D34" s="9" t="inlineStr">
        <is>
          <t>Valorización</t>
        </is>
      </c>
      <c r="E34" s="9" t="inlineStr">
        <is>
          <t>Informe Técnico Valorización Preliminar</t>
        </is>
      </c>
      <c r="F34" s="9" t="inlineStr">
        <is>
          <t>ep_tvaldes@colbun.cl</t>
        </is>
      </c>
      <c r="G34" s="9" t="inlineStr">
        <is>
          <t>CNE</t>
        </is>
      </c>
      <c r="H34" s="9" t="n">
        <v>90</v>
      </c>
      <c r="I34" s="9" t="inlineStr">
        <is>
          <t>Hábiles</t>
        </is>
      </c>
      <c r="J34" s="10" t="n"/>
      <c r="K34" s="11">
        <f>IF(I34="Corridos",H34+MAX(K33,K13),WORKDAY(MAX(K33,K13),H34,Tabla4[Fecha]))</f>
        <v/>
      </c>
      <c r="L34" s="11">
        <f>IF(I34="Corridos",H34+MAX(N33,N13),WORKDAY(MAX(N33,N13),H34,Tabla4[Fecha]))</f>
        <v/>
      </c>
      <c r="M34" s="11" t="n"/>
      <c r="N34" s="11">
        <f>IF(ISBLANK(M34),L34,M34)</f>
        <v/>
      </c>
      <c r="O34" s="48">
        <f>N34-TODAY()</f>
        <v/>
      </c>
      <c r="P34" s="11" t="inlineStr">
        <is>
          <t>No</t>
        </is>
      </c>
      <c r="Q34" s="11" t="n"/>
      <c r="R34" s="63" t="n"/>
    </row>
    <row r="35" ht="90.59999999999999" customHeight="1" thickBot="1">
      <c r="A35" s="54" t="n"/>
      <c r="B35" s="9" t="inlineStr">
        <is>
          <t>Decreto 10</t>
        </is>
      </c>
      <c r="C35" s="9" t="inlineStr">
        <is>
          <t>2024-2027</t>
        </is>
      </c>
      <c r="D35" s="9" t="inlineStr">
        <is>
          <t>Valorización</t>
        </is>
      </c>
      <c r="E35" s="9" t="inlineStr">
        <is>
          <t>Observaciones Informe Técnico Valorización Preliminar</t>
        </is>
      </c>
      <c r="F35" s="9" t="inlineStr">
        <is>
          <t>ep_tvaldes@colbun.cl</t>
        </is>
      </c>
      <c r="G35" s="9" t="inlineStr">
        <is>
          <t>Participantes e interesados</t>
        </is>
      </c>
      <c r="H35" s="9" t="n">
        <v>10</v>
      </c>
      <c r="I35" s="9" t="inlineStr">
        <is>
          <t>Hábiles</t>
        </is>
      </c>
      <c r="J35" s="10" t="n"/>
      <c r="K35" s="11">
        <f>IF(I34="Corridos",H34+K34,WORKDAY(K34,H34,Tabla4[Fecha]))</f>
        <v/>
      </c>
      <c r="L35" s="11">
        <f>IF(I35="Corridos",H35+N34,WORKDAY(N34,H35,Tabla4[Fecha]))</f>
        <v/>
      </c>
      <c r="M35" s="11" t="n"/>
      <c r="N35" s="11">
        <f>IF(ISBLANK(M35),L35,M35)</f>
        <v/>
      </c>
      <c r="O35" s="48">
        <f>N35-TODAY()</f>
        <v/>
      </c>
      <c r="P35" s="11" t="inlineStr">
        <is>
          <t>Si</t>
        </is>
      </c>
      <c r="Q35" s="11" t="inlineStr">
        <is>
          <t>Plazo límite para apelar ante el Panel de Expertos si persisten desacuerdos con el Informe Final.</t>
        </is>
      </c>
      <c r="R35" s="63" t="inlineStr">
        <is>
          <t>Solo si la respuesta en el ITF no fue satisfactoria. Requiere presentación de escrito legal/técnico al Panel.</t>
        </is>
      </c>
    </row>
    <row r="36" ht="27" customHeight="1" thickBot="1">
      <c r="A36" s="54" t="n"/>
      <c r="B36" s="9" t="inlineStr">
        <is>
          <t>Decreto 10</t>
        </is>
      </c>
      <c r="C36" s="9" t="inlineStr">
        <is>
          <t>2024-2027</t>
        </is>
      </c>
      <c r="D36" s="9" t="inlineStr">
        <is>
          <t>Valorización</t>
        </is>
      </c>
      <c r="E36" s="9" t="inlineStr">
        <is>
          <t xml:space="preserve"> Informe Técnico Valorización Final</t>
        </is>
      </c>
      <c r="F36" s="9" t="inlineStr">
        <is>
          <t>ep_tvaldes@colbun.cl</t>
        </is>
      </c>
      <c r="G36" s="9" t="inlineStr">
        <is>
          <t>CNE</t>
        </is>
      </c>
      <c r="H36" s="9" t="n">
        <v>20</v>
      </c>
      <c r="I36" s="9" t="inlineStr">
        <is>
          <t>Hábiles</t>
        </is>
      </c>
      <c r="J36" s="10" t="n"/>
      <c r="K36" s="11">
        <f>IF(I35="Corridos",H35+K35,WORKDAY(K35,H35,Tabla4[Fecha]))</f>
        <v/>
      </c>
      <c r="L36" s="11">
        <f>IF(I36="Corridos",H36+N35,WORKDAY(N35,H36,Tabla4[Fecha]))</f>
        <v/>
      </c>
      <c r="M36" s="11" t="n"/>
      <c r="N36" s="11">
        <f>IF(ISBLANK(M36),L36,M36)</f>
        <v/>
      </c>
      <c r="O36" s="48">
        <f>N36-TODAY()</f>
        <v/>
      </c>
      <c r="P36" s="11" t="inlineStr">
        <is>
          <t>Si</t>
        </is>
      </c>
      <c r="Q36" s="11" t="n"/>
      <c r="R36" s="63" t="n"/>
    </row>
    <row r="37" ht="65.45" customHeight="1" thickBot="1">
      <c r="A37" s="54" t="n"/>
      <c r="B37" s="9" t="inlineStr">
        <is>
          <t>Decreto 10</t>
        </is>
      </c>
      <c r="C37" s="9" t="inlineStr">
        <is>
          <t>2024-2027</t>
        </is>
      </c>
      <c r="D37" s="9" t="inlineStr">
        <is>
          <t>Valorización</t>
        </is>
      </c>
      <c r="E37" s="9" t="inlineStr">
        <is>
          <t>Presentación de Discrepancias al Panel de Expertos</t>
        </is>
      </c>
      <c r="F37" s="9" t="inlineStr">
        <is>
          <t>ep_tvaldes@colbun.cl</t>
        </is>
      </c>
      <c r="G37" s="9" t="inlineStr">
        <is>
          <t>Participantes e interesados</t>
        </is>
      </c>
      <c r="H37" s="9" t="n">
        <v>10</v>
      </c>
      <c r="I37" s="9" t="inlineStr">
        <is>
          <t>Hábiles</t>
        </is>
      </c>
      <c r="J37" s="10" t="n"/>
      <c r="K37" s="11">
        <f>IF(I36="Corridos",H36+K36,WORKDAY(K36,H36,Tabla4[Fecha]))</f>
        <v/>
      </c>
      <c r="L37" s="11">
        <f>IF(I37="Corridos",H37+N36,WORKDAY(N36,H37,Tabla4[Fecha]))</f>
        <v/>
      </c>
      <c r="M37" s="11" t="n"/>
      <c r="N37" s="11">
        <f>IF(ISBLANK(M37),L37,M37)</f>
        <v/>
      </c>
      <c r="O37" s="48">
        <f>N37-TODAY()</f>
        <v/>
      </c>
      <c r="P37" s="11" t="inlineStr">
        <is>
          <t>Si</t>
        </is>
      </c>
      <c r="Q37" s="11" t="inlineStr">
        <is>
          <t>Plazo límite para apelar ante el Panel de Expertos si persisten desacuerdos con el Informe Final.</t>
        </is>
      </c>
      <c r="R37" s="63" t="inlineStr">
        <is>
          <t>Solo si la respuesta en el ITF no fue satisfactoria. Requiere presentación de escrito legal/técnico al Panel.</t>
        </is>
      </c>
    </row>
    <row r="38" ht="65.45" customHeight="1" thickBot="1">
      <c r="A38" s="54" t="n"/>
      <c r="B38" s="9" t="inlineStr">
        <is>
          <t>Decreto 10</t>
        </is>
      </c>
      <c r="C38" s="9" t="inlineStr">
        <is>
          <t>2024-2027</t>
        </is>
      </c>
      <c r="D38" s="9" t="inlineStr">
        <is>
          <t>Valorización</t>
        </is>
      </c>
      <c r="E38" s="9" t="inlineStr">
        <is>
          <t xml:space="preserve">Convocatoria Audiencia </t>
        </is>
      </c>
      <c r="F38" s="9" t="inlineStr">
        <is>
          <t>ep_tvaldes@colbun.cl</t>
        </is>
      </c>
      <c r="G38" s="9" t="inlineStr">
        <is>
          <t>CNE</t>
        </is>
      </c>
      <c r="H38" s="9" t="n">
        <v>5</v>
      </c>
      <c r="I38" s="9" t="inlineStr">
        <is>
          <t>Hábiles</t>
        </is>
      </c>
      <c r="J38" s="37" t="n"/>
      <c r="K38" s="11">
        <f>IF(I37="Corridos",H37+K37,WORKDAY(K37,H37,Tabla4[Fecha]))</f>
        <v/>
      </c>
      <c r="L38" s="11">
        <f>IF(I38="Corridos",H38+N37,WORKDAY(N37,H38,Tabla4[Fecha]))</f>
        <v/>
      </c>
      <c r="M38" s="11" t="n"/>
      <c r="N38" s="11">
        <f>IF(ISBLANK(M38),L38,M38)</f>
        <v/>
      </c>
      <c r="O38" s="48">
        <f>N38-TODAY()</f>
        <v/>
      </c>
      <c r="P38" s="11" t="inlineStr">
        <is>
          <t>Si</t>
        </is>
      </c>
      <c r="Q38" s="11" t="inlineStr">
        <is>
          <t>El Panel cita oficialmente a las partes. Se fija fecha y hora para los alegatos.</t>
        </is>
      </c>
      <c r="R38" s="63" t="inlineStr">
        <is>
          <t>Confirmar recepción de citación</t>
        </is>
      </c>
    </row>
    <row r="39" ht="65.45" customHeight="1" thickBot="1">
      <c r="A39" s="54" t="n"/>
      <c r="B39" s="9" t="inlineStr">
        <is>
          <t>Decreto 10</t>
        </is>
      </c>
      <c r="C39" s="9" t="inlineStr">
        <is>
          <t>2024-2027</t>
        </is>
      </c>
      <c r="D39" s="9" t="inlineStr">
        <is>
          <t>Valorización</t>
        </is>
      </c>
      <c r="E39" s="9" t="inlineStr">
        <is>
          <t>Presentación de nomina de asistentes</t>
        </is>
      </c>
      <c r="F39" s="9" t="inlineStr">
        <is>
          <t>ep_tvaldes@colbun.cl</t>
        </is>
      </c>
      <c r="G39" s="9" t="inlineStr">
        <is>
          <t>CNE</t>
        </is>
      </c>
      <c r="H39" s="9" t="n">
        <v>3</v>
      </c>
      <c r="I39" s="9" t="inlineStr">
        <is>
          <t>Hábiles</t>
        </is>
      </c>
      <c r="J39" s="37" t="n"/>
      <c r="K39" s="11">
        <f>IF(I38="Corridos",H38+K38,WORKDAY(K38,H38,Tabla4[Fecha]))</f>
        <v/>
      </c>
      <c r="L39" s="11">
        <f>IF(I39="Corridos",H39+N38,WORKDAY(N38,H39,Tabla4[Fecha]))</f>
        <v/>
      </c>
      <c r="M39" s="11" t="n"/>
      <c r="N39" s="11">
        <f>IF(ISBLANK(M39),L39,M39)</f>
        <v/>
      </c>
      <c r="O39" s="48">
        <f>N39-TODAY()</f>
        <v/>
      </c>
      <c r="P39" s="11" t="inlineStr">
        <is>
          <t>Si</t>
        </is>
      </c>
      <c r="Q39" s="11" t="inlineStr">
        <is>
          <t>Plazo administrativo previo a la audiencia para informar al Panel los nombres y RUT de quienes asistirán.</t>
        </is>
      </c>
      <c r="R39" s="63" t="inlineStr">
        <is>
          <t>Enviar correo al secretario del Panel con la lista.</t>
        </is>
      </c>
    </row>
    <row r="40" ht="65.45" customHeight="1" thickBot="1">
      <c r="A40" s="54" t="n"/>
      <c r="B40" s="9" t="inlineStr">
        <is>
          <t>Decreto 10</t>
        </is>
      </c>
      <c r="C40" s="9" t="inlineStr">
        <is>
          <t>2024-2027</t>
        </is>
      </c>
      <c r="D40" s="9" t="inlineStr">
        <is>
          <t>Valorización</t>
        </is>
      </c>
      <c r="E40" s="9" t="inlineStr">
        <is>
          <t>Audiencia Panel de Expertos</t>
        </is>
      </c>
      <c r="F40" s="9" t="inlineStr">
        <is>
          <t>ep_tvaldes@colbun.cl</t>
        </is>
      </c>
      <c r="G40" s="9" t="inlineStr">
        <is>
          <t>Panel de Expertos</t>
        </is>
      </c>
      <c r="H40" s="9" t="n">
        <v>10</v>
      </c>
      <c r="I40" s="9" t="inlineStr">
        <is>
          <t>Hábiles</t>
        </is>
      </c>
      <c r="J40" s="9" t="inlineStr">
        <is>
          <t>Presentación de Discrepancias al Panel de Expertos</t>
        </is>
      </c>
      <c r="K40" s="11">
        <f>IF(I37="Corridos",H37+K37,WORKDAY(K37,H37,Tabla4[Fecha]))</f>
        <v/>
      </c>
      <c r="L40" s="11">
        <f>IF(I40="Corridos",H40+N37,WORKDAY(N37,H40,Tabla4[Fecha]))</f>
        <v/>
      </c>
      <c r="M40" s="11" t="n"/>
      <c r="N40" s="11">
        <f>IF(ISBLANK(M40),L40,M40)</f>
        <v/>
      </c>
      <c r="O40" s="48">
        <f>N40-TODAY()</f>
        <v/>
      </c>
      <c r="P40" s="11" t="inlineStr">
        <is>
          <t>Si</t>
        </is>
      </c>
      <c r="Q40" s="11" t="inlineStr">
        <is>
          <t>Sesión oral ante el Panel de Expertos</t>
        </is>
      </c>
      <c r="R40" s="63" t="inlineStr">
        <is>
          <t>Ejecutivos y abogados deben presentarse y exponer.</t>
        </is>
      </c>
    </row>
    <row r="41" ht="65.45" customHeight="1" thickBot="1">
      <c r="A41" s="54" t="n"/>
      <c r="B41" s="9" t="inlineStr">
        <is>
          <t>Decreto 10</t>
        </is>
      </c>
      <c r="C41" s="9" t="inlineStr">
        <is>
          <t>2024-2027</t>
        </is>
      </c>
      <c r="D41" s="9" t="inlineStr">
        <is>
          <t>Valorización</t>
        </is>
      </c>
      <c r="E41" s="9" t="inlineStr">
        <is>
          <t>Dictamen Panel de Expertos</t>
        </is>
      </c>
      <c r="F41" s="9" t="inlineStr">
        <is>
          <t>ep_tvaldes@colbun.cl</t>
        </is>
      </c>
      <c r="G41" s="9" t="inlineStr">
        <is>
          <t>Panel de Expertos</t>
        </is>
      </c>
      <c r="H41" s="9" t="n">
        <v>45</v>
      </c>
      <c r="I41" s="9" t="inlineStr">
        <is>
          <t>Hábiles</t>
        </is>
      </c>
      <c r="J41" s="10" t="n"/>
      <c r="K41" s="11">
        <f>IF(I40="Corridos",H40+K40,WORKDAY(K40,H40,Tabla4[Fecha]))</f>
        <v/>
      </c>
      <c r="L41" s="11">
        <f>IF(I41="Corridos",H41+N40,WORKDAY(N40,H41,Tabla4[Fecha]))</f>
        <v/>
      </c>
      <c r="M41" s="11" t="n"/>
      <c r="N41" s="11">
        <f>IF(ISBLANK(M41),L41,M41)</f>
        <v/>
      </c>
      <c r="O41" s="48">
        <f>N41-TODAY()</f>
        <v/>
      </c>
      <c r="P41" s="11" t="inlineStr">
        <is>
          <t>No</t>
        </is>
      </c>
      <c r="Q41" s="11" t="inlineStr">
        <is>
          <t>El Panel emite su fallo definitivo e inapelable. Resuelve si acepta o rechaza las discrepancias presentadas.</t>
        </is>
      </c>
      <c r="R41" s="63" t="inlineStr">
        <is>
          <t>Analizar fallo inmediatamente.</t>
        </is>
      </c>
    </row>
    <row r="42" ht="65.45" customHeight="1" thickBot="1">
      <c r="A42" s="54" t="n"/>
      <c r="B42" s="9" t="inlineStr">
        <is>
          <t>Decreto 10</t>
        </is>
      </c>
      <c r="C42" s="9" t="inlineStr">
        <is>
          <t>2024-2027</t>
        </is>
      </c>
      <c r="D42" s="9" t="inlineStr">
        <is>
          <t>Valorización</t>
        </is>
      </c>
      <c r="E42" s="9" t="inlineStr">
        <is>
          <t>Informe Técnico de Valorización definitivo</t>
        </is>
      </c>
      <c r="F42" s="9" t="inlineStr">
        <is>
          <t>ep_tvaldes@colbun.cl</t>
        </is>
      </c>
      <c r="G42" s="9" t="inlineStr">
        <is>
          <t>CNE</t>
        </is>
      </c>
      <c r="H42" s="9" t="n">
        <v>20</v>
      </c>
      <c r="I42" s="9" t="inlineStr">
        <is>
          <t>Hábiles</t>
        </is>
      </c>
      <c r="J42" s="10" t="n"/>
      <c r="K42" s="11">
        <f>IF(I41="Corridos",H41+K41,WORKDAY(K41,H41,Tabla4[Fecha]))</f>
        <v/>
      </c>
      <c r="L42" s="11">
        <f>IF(I42="Corridos",H42+N41,WORKDAY(N41,H42,Tabla4[Fecha]))</f>
        <v/>
      </c>
      <c r="M42" s="11" t="n"/>
      <c r="N42" s="11">
        <f>IF(ISBLANK(M42),L42,M42)</f>
        <v/>
      </c>
      <c r="O42" s="48">
        <f>N42-TODAY()</f>
        <v/>
      </c>
      <c r="P42" s="11" t="inlineStr">
        <is>
          <t>No</t>
        </is>
      </c>
      <c r="Q42" s="11" t="inlineStr">
        <is>
          <t>La CNE ajusta el plan según lo ordenado por el Panel y envía la versión final consolidada al Ministerio.</t>
        </is>
      </c>
      <c r="R42" s="63" t="inlineStr">
        <is>
          <t>Marca el fin del trabajo de la CNE y el pase al Ministerio.</t>
        </is>
      </c>
    </row>
    <row r="43" ht="65.45" customHeight="1">
      <c r="A43" s="55" t="n"/>
      <c r="B43" s="56" t="inlineStr">
        <is>
          <t>Decreto 10</t>
        </is>
      </c>
      <c r="C43" s="56" t="inlineStr">
        <is>
          <t>2024-2027</t>
        </is>
      </c>
      <c r="D43" s="56" t="inlineStr">
        <is>
          <t>Valorización</t>
        </is>
      </c>
      <c r="E43" s="56" t="inlineStr">
        <is>
          <t>Decreto Expedido</t>
        </is>
      </c>
      <c r="F43" s="56" t="inlineStr">
        <is>
          <t>ep_tvaldes@colbun.cl</t>
        </is>
      </c>
      <c r="G43" s="56" t="inlineStr">
        <is>
          <t>Ministerio de Energía</t>
        </is>
      </c>
      <c r="H43" s="56" t="n">
        <v>20</v>
      </c>
      <c r="I43" s="56" t="inlineStr">
        <is>
          <t>Hábiles</t>
        </is>
      </c>
      <c r="J43" s="94" t="n"/>
      <c r="K43" s="58">
        <f>IF(I42="Corridos",H42+K42,WORKDAY(K42,H42,Tabla4[Fecha]))</f>
        <v/>
      </c>
      <c r="L43" s="58">
        <f>IF(I43="Corridos",H43+N42,WORKDAY(N42,H43,Tabla4[Fecha]))</f>
        <v/>
      </c>
      <c r="M43" s="58" t="n"/>
      <c r="N43" s="58">
        <f>IF(ISBLANK(M43),L43,M43)</f>
        <v/>
      </c>
      <c r="O43" s="95">
        <f>N43-TODAY()</f>
        <v/>
      </c>
      <c r="P43" s="58" t="inlineStr">
        <is>
          <t>No</t>
        </is>
      </c>
      <c r="Q43" s="58" t="inlineStr">
        <is>
          <t>El Ministerio publica el Decreto en el Diario Oficial. Nacen legalmente las obras y comienzan a correr los plazos de licitación.</t>
        </is>
      </c>
      <c r="R43" s="96" t="inlineStr">
        <is>
          <t>Descargar Decreto. Revisar cronograma de licitaciones.</t>
        </is>
      </c>
    </row>
    <row r="44" ht="13.15" customHeight="1"/>
    <row r="45" ht="13.15" customHeight="1"/>
    <row r="46" ht="13.15" customHeight="1"/>
  </sheetData>
  <hyperlinks>
    <hyperlink xmlns:r="http://schemas.openxmlformats.org/officeDocument/2006/relationships" ref="F2" r:id="rId1"/>
  </hyperlinks>
  <pageMargins left="0.7" right="0.7" top="0.75" bottom="0.75" header="0.3" footer="0.3"/>
  <pageSetup orientation="portrait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33"/>
  <sheetViews>
    <sheetView zoomScale="70" zoomScaleNormal="70" workbookViewId="0">
      <pane ySplit="1" topLeftCell="A4" activePane="bottomLeft" state="frozen"/>
      <selection pane="bottomLeft" activeCell="E8" sqref="E8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23.7109375" customWidth="1" min="5" max="5"/>
    <col width="21.5703125" bestFit="1" customWidth="1" min="6" max="6"/>
    <col width="19.28515625" bestFit="1" customWidth="1" min="7" max="7"/>
    <col width="15.28515625" bestFit="1" customWidth="1" min="8" max="8"/>
    <col width="15.7109375" customWidth="1" min="9" max="9"/>
    <col width="17.140625" bestFit="1" customWidth="1" min="10" max="10"/>
    <col width="17.140625" customWidth="1" min="11" max="11"/>
    <col width="19.28515625" customWidth="1" min="12" max="12"/>
    <col width="23" customWidth="1" min="13" max="13"/>
    <col width="16.140625" customWidth="1" min="14" max="14"/>
    <col width="16.7109375" customWidth="1" min="15" max="16"/>
    <col width="27.28515625" customWidth="1" min="17" max="17"/>
    <col width="24.85546875" customWidth="1" min="18" max="18"/>
    <col width="18.5703125" bestFit="1" customWidth="1" min="19" max="19"/>
    <col width="14" bestFit="1" customWidth="1" min="20" max="20"/>
    <col width="17.28515625" bestFit="1" customWidth="1" min="21" max="21"/>
  </cols>
  <sheetData>
    <row r="1" ht="29.45" customHeight="1" thickBot="1">
      <c r="A1" s="50" t="inlineStr">
        <is>
          <t>ID</t>
        </is>
      </c>
      <c r="B1" s="5" t="inlineStr">
        <is>
          <t>Norma</t>
        </is>
      </c>
      <c r="C1" s="5" t="inlineStr">
        <is>
          <t>Periodo</t>
        </is>
      </c>
      <c r="D1" s="5" t="inlineStr">
        <is>
          <t>Proceso</t>
        </is>
      </c>
      <c r="E1" s="5" t="inlineStr">
        <is>
          <t>Hito / Etapa</t>
        </is>
      </c>
      <c r="F1" s="5" t="inlineStr">
        <is>
          <t>Responsable</t>
        </is>
      </c>
      <c r="G1" s="5" t="inlineStr">
        <is>
          <t>Agente</t>
        </is>
      </c>
      <c r="H1" s="5" t="inlineStr">
        <is>
          <t>Plazo</t>
        </is>
      </c>
      <c r="I1" s="5" t="inlineStr">
        <is>
          <t>Tipo_Dia</t>
        </is>
      </c>
      <c r="J1" s="5" t="inlineStr">
        <is>
          <t>ID_Gatillador</t>
        </is>
      </c>
      <c r="K1" s="5" t="inlineStr">
        <is>
          <t>Fecha_téorica</t>
        </is>
      </c>
      <c r="L1" s="5" t="inlineStr">
        <is>
          <t>Fecha_Proyectada</t>
        </is>
      </c>
      <c r="M1" s="5" t="inlineStr">
        <is>
          <t>Fecha_Real_Manual</t>
        </is>
      </c>
      <c r="N1" s="39" t="inlineStr">
        <is>
          <t>Fecha_Vigente</t>
        </is>
      </c>
      <c r="O1" s="44" t="inlineStr">
        <is>
          <t>Dias_Restantes</t>
        </is>
      </c>
      <c r="P1" s="38" t="inlineStr">
        <is>
          <t>Respuesta/Interactua</t>
        </is>
      </c>
      <c r="Q1" s="38" t="inlineStr">
        <is>
          <t>Descripción</t>
        </is>
      </c>
      <c r="R1" s="38" t="inlineStr">
        <is>
          <t>Descripción_interacción</t>
        </is>
      </c>
    </row>
    <row r="2" ht="53.45" customHeight="1" thickBot="1">
      <c r="A2" s="51" t="n">
        <v>0</v>
      </c>
      <c r="B2" s="14" t="inlineStr">
        <is>
          <t>Decreto 37</t>
        </is>
      </c>
      <c r="C2" s="14" t="n">
        <v>2024</v>
      </c>
      <c r="D2" s="14" t="inlineStr">
        <is>
          <t>Expansión de Transmisión</t>
        </is>
      </c>
      <c r="E2" s="14" t="inlineStr">
        <is>
          <t xml:space="preserve">Propuesta de Expansión de la Transmisión al SEN </t>
        </is>
      </c>
      <c r="F2" s="14" t="inlineStr">
        <is>
          <t>ep_tvaldes@colbun.cl</t>
        </is>
      </c>
      <c r="G2" s="14" t="inlineStr">
        <is>
          <t>Coordinador</t>
        </is>
      </c>
      <c r="H2" s="14" t="n"/>
      <c r="I2" s="14" t="inlineStr">
        <is>
          <t>Inicio</t>
        </is>
      </c>
      <c r="J2" s="20" t="n"/>
      <c r="K2" s="15" t="n">
        <v>45313</v>
      </c>
      <c r="L2" s="15" t="n">
        <v>45313</v>
      </c>
      <c r="M2" s="15" t="n">
        <v>45313</v>
      </c>
      <c r="N2" s="40">
        <f>IF(ISBLANK(M2),L2,M2)</f>
        <v/>
      </c>
      <c r="O2" s="47">
        <f>N2-TODAY()</f>
        <v/>
      </c>
      <c r="P2" s="11" t="inlineStr">
        <is>
          <t>No</t>
        </is>
      </c>
      <c r="Q2" s="11" t="inlineStr">
        <is>
          <t>El Coordinador entrega su visión técnica inicial de las obras necesarias. Inicio del proceso regulatorio anual</t>
        </is>
      </c>
      <c r="R2" s="63" t="inlineStr">
        <is>
          <t>Solo monitoreo. Revisar si proponen obras que impacten zonas de interés.</t>
        </is>
      </c>
    </row>
    <row r="3" ht="79.90000000000001" customHeight="1" thickBot="1">
      <c r="A3" s="51" t="n">
        <v>1</v>
      </c>
      <c r="B3" s="14" t="inlineStr">
        <is>
          <t>Decreto 37</t>
        </is>
      </c>
      <c r="C3" s="14" t="n">
        <v>2024</v>
      </c>
      <c r="D3" s="14" t="inlineStr">
        <is>
          <t>Planificación de la Transmisión</t>
        </is>
      </c>
      <c r="E3" s="14" t="inlineStr">
        <is>
          <t>Convocatoria de interesados en etapa de presentación de propuestas de proyectos de expansión de la Transmisión</t>
        </is>
      </c>
      <c r="F3" s="14" t="inlineStr">
        <is>
          <t>ep_tvaldes@colbun.cl</t>
        </is>
      </c>
      <c r="G3" s="14" t="inlineStr">
        <is>
          <t>CNE</t>
        </is>
      </c>
      <c r="H3" s="14" t="n">
        <v>5</v>
      </c>
      <c r="I3" s="14" t="inlineStr">
        <is>
          <t>Hábiles</t>
        </is>
      </c>
      <c r="J3" s="20" t="n"/>
      <c r="K3" s="15">
        <f>IF(I3="Corridos",H3+L2,WORKDAY(L2,H3,Tabla4[Fecha]))</f>
        <v/>
      </c>
      <c r="L3" s="15">
        <f>IF(I3="Corridos",H3+N2,WORKDAY(N2,H3,Tabla4[Fecha]))</f>
        <v/>
      </c>
      <c r="M3" s="15" t="n"/>
      <c r="N3" s="40">
        <f>IF(ISBLANK(M3),L3,M3)</f>
        <v/>
      </c>
      <c r="O3" s="47">
        <f>N3-TODAY()</f>
        <v/>
      </c>
      <c r="P3" s="11" t="inlineStr">
        <is>
          <t>Si</t>
        </is>
      </c>
      <c r="Q3" s="11" t="inlineStr">
        <is>
          <t>La CNE publica la propuesta del CEN y abre oficialmente la ventanilla para que terceros propongan proyectos distintos.</t>
        </is>
      </c>
      <c r="R3" s="63" t="inlineStr">
        <is>
          <t>Si deseas proponer obras: Inicia preparación de anteproyectos técnicos y económicos</t>
        </is>
      </c>
    </row>
    <row r="4" ht="53.45" customHeight="1" thickBot="1">
      <c r="A4" s="51" t="n">
        <v>3</v>
      </c>
      <c r="B4" s="14" t="inlineStr">
        <is>
          <t>Decreto 37</t>
        </is>
      </c>
      <c r="C4" s="14" t="n">
        <v>2024</v>
      </c>
      <c r="D4" s="14" t="inlineStr">
        <is>
          <t>Planificación de la Transmisión</t>
        </is>
      </c>
      <c r="E4" s="14" t="inlineStr">
        <is>
          <t xml:space="preserve">Presentación de Propuestas de Expansión de la Transmisión </t>
        </is>
      </c>
      <c r="F4" s="14" t="inlineStr">
        <is>
          <t>ep_tvaldes@colbun.cl</t>
        </is>
      </c>
      <c r="G4" s="14" t="inlineStr">
        <is>
          <t>Interasados</t>
        </is>
      </c>
      <c r="H4" s="14" t="n">
        <v>70</v>
      </c>
      <c r="I4" s="14" t="inlineStr">
        <is>
          <t>Corridos</t>
        </is>
      </c>
      <c r="J4" s="20" t="n"/>
      <c r="K4" s="15">
        <f>IF(I4="Corridos",H4+L2,WORKDAY(L2,H4,Tabla4[Fecha]))</f>
        <v/>
      </c>
      <c r="L4" s="15">
        <f>IF(I4="Corridos",H4+N2,WORKDAY(N2,H4,Tabla4[Fecha]))</f>
        <v/>
      </c>
      <c r="M4" s="15" t="n">
        <v>45440</v>
      </c>
      <c r="N4" s="40">
        <f>IF(ISBLANK(M4),L4,M4)</f>
        <v/>
      </c>
      <c r="O4" s="47">
        <f>N4-TODAY()</f>
        <v/>
      </c>
      <c r="P4" s="11" t="inlineStr">
        <is>
          <t>Si</t>
        </is>
      </c>
      <c r="Q4" s="11" t="inlineStr">
        <is>
          <t>Fecha límite para ingresar propuestas de proyectos de expansión a la CNE.</t>
        </is>
      </c>
      <c r="R4" s="63" t="inlineStr">
        <is>
          <t>Debes enviar formulario y carpeta técnica a la CNE antes de esta fecha.</t>
        </is>
      </c>
    </row>
    <row r="5" ht="53.45" customHeight="1" thickBot="1">
      <c r="A5" s="51" t="n">
        <v>4</v>
      </c>
      <c r="B5" s="14" t="inlineStr">
        <is>
          <t>Decreto 37</t>
        </is>
      </c>
      <c r="C5" s="14" t="n">
        <v>2024</v>
      </c>
      <c r="D5" s="14" t="inlineStr">
        <is>
          <t>Planificación de la Transmisión</t>
        </is>
      </c>
      <c r="E5" s="14" t="inlineStr">
        <is>
          <t>Publicación de Propuestas en pagina Web</t>
        </is>
      </c>
      <c r="F5" s="14" t="inlineStr">
        <is>
          <t>ep_tvaldes@colbun.cl</t>
        </is>
      </c>
      <c r="G5" s="14" t="inlineStr">
        <is>
          <t>Comisión</t>
        </is>
      </c>
      <c r="H5" s="14" t="n">
        <v>10</v>
      </c>
      <c r="I5" s="14" t="inlineStr">
        <is>
          <t>Hábiles</t>
        </is>
      </c>
      <c r="J5" s="20" t="n"/>
      <c r="K5" s="15">
        <f>IF(I5="Corridos",H5+K4,WORKDAY(K4,H5,Tabla4[Fecha]))</f>
        <v/>
      </c>
      <c r="L5" s="15">
        <f>IF(I5="Corridos",H5+N4,WORKDAY(N4,H5,Tabla4[Fecha]))</f>
        <v/>
      </c>
      <c r="M5" s="15" t="n"/>
      <c r="N5" s="40">
        <f>IF(ISBLANK(M5),L5,M5)</f>
        <v/>
      </c>
      <c r="O5" s="47">
        <f>N5-TODAY()</f>
        <v/>
      </c>
      <c r="P5" s="11" t="inlineStr">
        <is>
          <t>No</t>
        </is>
      </c>
      <c r="Q5" s="11" t="inlineStr">
        <is>
          <t>La CNE hace públicas todas las propuestas recibidas (CEN + Promotores)</t>
        </is>
      </c>
      <c r="R5" s="63" t="inlineStr">
        <is>
          <t>Revisar qué propusieron otros actores o competidores en tus zonas de influencia</t>
        </is>
      </c>
    </row>
    <row r="6" ht="93" customHeight="1" thickBot="1">
      <c r="A6" s="51" t="n">
        <v>2</v>
      </c>
      <c r="B6" s="14" t="inlineStr">
        <is>
          <t>Decreto 37</t>
        </is>
      </c>
      <c r="C6" s="14" t="n">
        <v>2024</v>
      </c>
      <c r="D6" s="14" t="inlineStr">
        <is>
          <t>Planificación de la Transmisión</t>
        </is>
      </c>
      <c r="E6" s="14" t="inlineStr">
        <is>
          <t>Complemento a la propuesta de expasión de la Transmisión</t>
        </is>
      </c>
      <c r="F6" s="14" t="inlineStr">
        <is>
          <t>ep_tvaldes@colbun.cl</t>
        </is>
      </c>
      <c r="G6" s="14" t="inlineStr">
        <is>
          <t>Coordinador</t>
        </is>
      </c>
      <c r="H6" s="14" t="n">
        <v>30</v>
      </c>
      <c r="I6" s="14" t="inlineStr">
        <is>
          <t>Hábiles</t>
        </is>
      </c>
      <c r="J6" s="20" t="n"/>
      <c r="K6" s="15">
        <f>IF(I6="Corridos",H6+K4,WORKDAY(K4,H6,Tabla4[Fecha]))</f>
        <v/>
      </c>
      <c r="L6" s="15">
        <f>IF(I6="Corridos",H6+N4,WORKDAY(N4,H6,Tabla4[Fecha]))</f>
        <v/>
      </c>
      <c r="M6" s="15" t="n">
        <v>45474</v>
      </c>
      <c r="N6" s="40">
        <f>IF(ISBLANK(M6),L6,M6)</f>
        <v/>
      </c>
      <c r="O6" s="47">
        <f>N6-TODAY()</f>
        <v/>
      </c>
      <c r="P6" s="11" t="inlineStr">
        <is>
          <t>No</t>
        </is>
      </c>
      <c r="Q6" s="11" t="inlineStr">
        <is>
          <t>El Coordinador puede actualizar su propuesta original (de enero) integrando proyectos presentados por terceros o nueva información de demanda.</t>
        </is>
      </c>
      <c r="R6" s="63" t="inlineStr">
        <is>
          <t>Monitoreo: Revisar si el Coordinador acogió o rechazó proyectos de interés en esta actualización.</t>
        </is>
      </c>
      <c r="S6" t="inlineStr">
        <is>
          <t>*Dentro del plazo/ Artículo 110</t>
        </is>
      </c>
    </row>
    <row r="7" ht="79.90000000000001" customHeight="1" thickBot="1">
      <c r="A7" s="51" t="n">
        <v>7</v>
      </c>
      <c r="B7" s="14" t="inlineStr">
        <is>
          <t>Decreto 37</t>
        </is>
      </c>
      <c r="C7" s="14" t="n">
        <v>2024</v>
      </c>
      <c r="D7" s="14" t="inlineStr">
        <is>
          <t>Planificación de la Transmisión</t>
        </is>
      </c>
      <c r="E7" s="14" t="inlineStr">
        <is>
          <t>Solicitud de antedecedentes complementariosa promotores de proyectos</t>
        </is>
      </c>
      <c r="F7" s="14" t="inlineStr">
        <is>
          <t>ep_tvaldes@colbun.cl</t>
        </is>
      </c>
      <c r="G7" s="14" t="inlineStr">
        <is>
          <t>Comisión</t>
        </is>
      </c>
      <c r="H7" s="14" t="n">
        <v>70</v>
      </c>
      <c r="I7" s="14" t="inlineStr">
        <is>
          <t>Hábiles</t>
        </is>
      </c>
      <c r="J7" s="20" t="n"/>
      <c r="K7" s="15">
        <f>IF(I7="Corridos",H7+K4,WORKDAY(K4,H7,Tabla4[Fecha]))</f>
        <v/>
      </c>
      <c r="L7" s="15">
        <f>IF(I7="Corridos",H7+N4,WORKDAY(N4,H7,Tabla4[Fecha]))</f>
        <v/>
      </c>
      <c r="M7" s="15" t="n"/>
      <c r="N7" s="40">
        <f>IF(ISBLANK(M7),L7,M7)</f>
        <v/>
      </c>
      <c r="O7" s="47">
        <f>N7-TODAY()</f>
        <v/>
      </c>
      <c r="P7" s="11" t="inlineStr">
        <is>
          <t>Si</t>
        </is>
      </c>
      <c r="Q7" s="11" t="inlineStr">
        <is>
          <t>La CNE solicita información técnica adicional a los promotores para poder evaluar sus proyectos. Plazo crítico para evitar que desechen una propuesta.</t>
        </is>
      </c>
      <c r="R7" s="63" t="inlineStr">
        <is>
          <t>Debes responder formalmente a la CNE. Si no respondes, tu proyecto puede ser descartado.</t>
        </is>
      </c>
    </row>
    <row r="8" ht="66.59999999999999" customHeight="1" thickBot="1">
      <c r="A8" s="51" t="n">
        <v>8</v>
      </c>
      <c r="B8" s="14" t="inlineStr">
        <is>
          <t>Decreto 37</t>
        </is>
      </c>
      <c r="C8" s="14" t="n">
        <v>2024</v>
      </c>
      <c r="D8" s="14" t="inlineStr">
        <is>
          <t>Planificación de la Transmisión</t>
        </is>
      </c>
      <c r="E8" s="14" t="inlineStr">
        <is>
          <t>Recepción de Informe técnico preliminar</t>
        </is>
      </c>
      <c r="F8" s="14" t="inlineStr">
        <is>
          <t>ep_tvaldes@colbun.cl</t>
        </is>
      </c>
      <c r="G8" s="14" t="inlineStr">
        <is>
          <t>Comisión</t>
        </is>
      </c>
      <c r="H8" s="14" t="n"/>
      <c r="I8" s="14" t="n"/>
      <c r="J8" s="20" t="n"/>
      <c r="K8" s="15" t="inlineStr">
        <is>
          <t>x</t>
        </is>
      </c>
      <c r="L8" s="15">
        <f>IF(I8="Corridos",H8+N2,WORKDAY(N2,H8,Tabla4[Fecha]))</f>
        <v/>
      </c>
      <c r="M8" s="15" t="n">
        <v>45646</v>
      </c>
      <c r="N8" s="40">
        <f>IF(ISBLANK(M8),L8,M8)</f>
        <v/>
      </c>
      <c r="O8" s="47">
        <f>N8-TODAY()</f>
        <v/>
      </c>
      <c r="P8" s="11" t="inlineStr">
        <is>
          <t>Si</t>
        </is>
      </c>
      <c r="Q8" s="11" t="inlineStr">
        <is>
          <t>La CNE publica el primer borrador oficial del Plan. Define qué obras se aprueban preliminarmente y cuáles se rechazan.</t>
        </is>
      </c>
      <c r="R8" s="63" t="inlineStr">
        <is>
          <t>Inicia la cuenta regresiva de 10 días para observaciones</t>
        </is>
      </c>
      <c r="S8" t="inlineStr">
        <is>
          <t>*Dentro del tercer trimestre del año / Se desconoce la fecha téorica</t>
        </is>
      </c>
    </row>
    <row r="9" ht="66.59999999999999" customHeight="1" thickBot="1">
      <c r="A9" s="51" t="n">
        <v>8</v>
      </c>
      <c r="B9" s="14" t="inlineStr">
        <is>
          <t>Decreto 37</t>
        </is>
      </c>
      <c r="C9" s="14" t="n">
        <v>2024</v>
      </c>
      <c r="D9" s="14" t="inlineStr">
        <is>
          <t>Planificación de la Transmisión</t>
        </is>
      </c>
      <c r="E9" s="14" t="inlineStr">
        <is>
          <t xml:space="preserve">Presentación de observaciones del Informe técnico preliminar a la comisión </t>
        </is>
      </c>
      <c r="F9" s="14" t="inlineStr">
        <is>
          <t>ep_tvaldes@colbun.cl</t>
        </is>
      </c>
      <c r="G9" s="14" t="inlineStr">
        <is>
          <t>Comisión</t>
        </is>
      </c>
      <c r="H9" s="14" t="n">
        <v>10</v>
      </c>
      <c r="I9" s="14" t="inlineStr">
        <is>
          <t>Hábiles</t>
        </is>
      </c>
      <c r="J9" s="20" t="n"/>
      <c r="K9" s="15" t="n"/>
      <c r="L9" s="15">
        <f>IF(I9="Corridos",H9+N8,WORKDAY(N8,H9,Tabla4[Fecha]))</f>
        <v/>
      </c>
      <c r="M9" s="15" t="n"/>
      <c r="N9" s="40">
        <f>IF(ISBLANK(M9),L9,M9)</f>
        <v/>
      </c>
      <c r="O9" s="47">
        <f>N9-TODAY()</f>
        <v/>
      </c>
      <c r="P9" s="11" t="inlineStr">
        <is>
          <t>Si</t>
        </is>
      </c>
      <c r="Q9" s="11" t="inlineStr">
        <is>
          <t>Vencimiento de Plazo para ingresar observaciones formales ante la CNE impugnando el Informe Preliminar.</t>
        </is>
      </c>
      <c r="R9" s="63" t="inlineStr">
        <is>
          <t>Subir observaciones a la plataforma CNE. Si no observas aquí, pierdes derecho a ir al Panel de expertos después.</t>
        </is>
      </c>
    </row>
    <row r="10" ht="66.59999999999999" customHeight="1" thickBot="1">
      <c r="A10" s="51" t="n">
        <v>8</v>
      </c>
      <c r="B10" s="14" t="inlineStr">
        <is>
          <t>Decreto 37</t>
        </is>
      </c>
      <c r="C10" s="14" t="n">
        <v>2024</v>
      </c>
      <c r="D10" s="14" t="inlineStr">
        <is>
          <t>Planificación de la Transmisión</t>
        </is>
      </c>
      <c r="E10" s="14" t="inlineStr">
        <is>
          <t xml:space="preserve">Emisión de Informe técnico Final </t>
        </is>
      </c>
      <c r="F10" s="14" t="inlineStr">
        <is>
          <t>ep_tvaldes@colbun.cl</t>
        </is>
      </c>
      <c r="G10" s="14" t="inlineStr">
        <is>
          <t>Comisión</t>
        </is>
      </c>
      <c r="H10" s="14" t="n">
        <v>30</v>
      </c>
      <c r="I10" s="14" t="inlineStr">
        <is>
          <t>Hábiles</t>
        </is>
      </c>
      <c r="J10" s="20" t="n"/>
      <c r="K10" s="15" t="n"/>
      <c r="L10" s="15">
        <f>IF(I10="Corridos",H10+N9,WORKDAY(N9,H10,Tabla4[Fecha]))</f>
        <v/>
      </c>
      <c r="M10" s="15" t="n">
        <v>45755</v>
      </c>
      <c r="N10" s="40">
        <f>IF(ISBLANK(M10),L10,M10)</f>
        <v/>
      </c>
      <c r="O10" s="47">
        <f>N10-TODAY()</f>
        <v/>
      </c>
      <c r="P10" s="11" t="inlineStr">
        <is>
          <t>No</t>
        </is>
      </c>
      <c r="Q10" s="11" t="inlineStr">
        <is>
          <t>La CNE emite la versión definitiva técnica del Plan, respondiendo (aceptando o rechazando) las observaciones realizadas.</t>
        </is>
      </c>
      <c r="R10" s="63" t="inlineStr">
        <is>
          <t>Verificar si las observaciones realizadas fueron acogidas.</t>
        </is>
      </c>
    </row>
    <row r="11" ht="66.59999999999999" customHeight="1" thickBot="1">
      <c r="A11" s="51" t="n">
        <v>8</v>
      </c>
      <c r="B11" s="14" t="inlineStr">
        <is>
          <t>Decreto 37</t>
        </is>
      </c>
      <c r="C11" s="14" t="n">
        <v>2024</v>
      </c>
      <c r="D11" s="14" t="inlineStr">
        <is>
          <t>Planificación de la Transmisión</t>
        </is>
      </c>
      <c r="E11" s="14" t="inlineStr">
        <is>
          <t>Presentación de discrepancias al Panel de Expertos</t>
        </is>
      </c>
      <c r="F11" s="14" t="inlineStr">
        <is>
          <t>ep_tvaldes@colbun.cl</t>
        </is>
      </c>
      <c r="G11" s="14" t="inlineStr">
        <is>
          <t>Interasados</t>
        </is>
      </c>
      <c r="H11" s="14" t="n">
        <v>15</v>
      </c>
      <c r="I11" s="14" t="inlineStr">
        <is>
          <t>Hábiles</t>
        </is>
      </c>
      <c r="J11" s="20" t="n"/>
      <c r="K11" s="15" t="n"/>
      <c r="L11" s="15">
        <f>IF(I11="Corridos",H11+N10,WORKDAY(N10,H11,Tabla4[Fecha]))</f>
        <v/>
      </c>
      <c r="M11" s="14" t="n"/>
      <c r="N11" s="40">
        <f>IF(ISBLANK(M11),L11,M11)</f>
        <v/>
      </c>
      <c r="O11" s="47">
        <f>N11-TODAY()</f>
        <v/>
      </c>
      <c r="P11" s="11" t="inlineStr">
        <is>
          <t>Si</t>
        </is>
      </c>
      <c r="Q11" s="11" t="inlineStr">
        <is>
          <t>Plazo límite para apelar ante el Panel de Expertos si persisten desacuerdos con el Informe Final.</t>
        </is>
      </c>
      <c r="R11" s="63" t="inlineStr">
        <is>
          <t>Solo si la respuesta en el ITF no fue satisfactoria. Requiere presentación de escrito legal/técnico al Panel.</t>
        </is>
      </c>
    </row>
    <row r="12" ht="40.15" customHeight="1" thickBot="1">
      <c r="A12" s="51" t="n">
        <v>8</v>
      </c>
      <c r="B12" s="14" t="inlineStr">
        <is>
          <t>Decreto 37</t>
        </is>
      </c>
      <c r="C12" s="14" t="n">
        <v>2024</v>
      </c>
      <c r="D12" s="14" t="inlineStr">
        <is>
          <t>Planificación de la Transmisión</t>
        </is>
      </c>
      <c r="E12" s="14" t="inlineStr">
        <is>
          <t>Convocatoria audiencia pública</t>
        </is>
      </c>
      <c r="F12" s="14" t="inlineStr">
        <is>
          <t>ep_tvaldes@colbun.cl</t>
        </is>
      </c>
      <c r="G12" s="14" t="inlineStr">
        <is>
          <t>Interasados</t>
        </is>
      </c>
      <c r="H12" s="14" t="n">
        <v>5</v>
      </c>
      <c r="I12" s="14" t="inlineStr">
        <is>
          <t>Hábiles</t>
        </is>
      </c>
      <c r="J12" s="20" t="n"/>
      <c r="K12" s="15" t="n"/>
      <c r="L12" s="15">
        <f>IF(I12="Corridos",H12+N11,WORKDAY(N11,H12,Tabla4[Fecha]))</f>
        <v/>
      </c>
      <c r="M12" s="14" t="n"/>
      <c r="N12" s="40">
        <f>IF(ISBLANK(M12),L12,M12)</f>
        <v/>
      </c>
      <c r="O12" s="47">
        <f>N12-TODAY()</f>
        <v/>
      </c>
      <c r="P12" s="11" t="inlineStr">
        <is>
          <t>Si</t>
        </is>
      </c>
      <c r="Q12" s="11" t="inlineStr">
        <is>
          <t>El Panel cita oficialmente a las partes. Se fija fecha y hora para los alegatos.</t>
        </is>
      </c>
      <c r="R12" s="63" t="inlineStr">
        <is>
          <t>Confirmar recepción de citación</t>
        </is>
      </c>
    </row>
    <row r="13" ht="53.45" customHeight="1" thickBot="1">
      <c r="A13" s="51" t="n">
        <v>8</v>
      </c>
      <c r="B13" s="14" t="inlineStr">
        <is>
          <t>Decreto 37</t>
        </is>
      </c>
      <c r="C13" s="14" t="n">
        <v>2024</v>
      </c>
      <c r="D13" s="14" t="inlineStr">
        <is>
          <t>Planificación de la Transmisión</t>
        </is>
      </c>
      <c r="E13" s="14" t="inlineStr">
        <is>
          <t>Presentación de nomina de asistentes</t>
        </is>
      </c>
      <c r="F13" s="14" t="inlineStr">
        <is>
          <t>ep_tvaldes@colbun.cl</t>
        </is>
      </c>
      <c r="G13" s="14" t="inlineStr">
        <is>
          <t>Comisión</t>
        </is>
      </c>
      <c r="H13" s="14" t="n">
        <v>3</v>
      </c>
      <c r="I13" s="14" t="inlineStr">
        <is>
          <t>Hábiles</t>
        </is>
      </c>
      <c r="J13" s="20" t="n"/>
      <c r="K13" s="15" t="n"/>
      <c r="L13" s="15">
        <f>IF(I13="Corridos",H13+N12,WORKDAY(N12,H13,Tabla4[Fecha]))</f>
        <v/>
      </c>
      <c r="M13" s="14" t="n"/>
      <c r="N13" s="40">
        <f>IF(ISBLANK(M13),L13,M13)</f>
        <v/>
      </c>
      <c r="O13" s="47">
        <f>N13-TODAY()</f>
        <v/>
      </c>
      <c r="P13" s="11" t="inlineStr">
        <is>
          <t>Si</t>
        </is>
      </c>
      <c r="Q13" s="11" t="inlineStr">
        <is>
          <t>Plazo administrativo previo a la audiencia para informar al Panel los nombres y RUT de quienes asistirán.</t>
        </is>
      </c>
      <c r="R13" s="63" t="inlineStr">
        <is>
          <t>Enviar correo al secretario del Panel con la lista.</t>
        </is>
      </c>
    </row>
    <row r="14" ht="40.15" customHeight="1" thickBot="1">
      <c r="A14" s="51" t="n">
        <v>8</v>
      </c>
      <c r="B14" s="14" t="inlineStr">
        <is>
          <t>Decreto 37</t>
        </is>
      </c>
      <c r="C14" s="14" t="n">
        <v>2024</v>
      </c>
      <c r="D14" s="14" t="inlineStr">
        <is>
          <t>Planificación de la Transmisión</t>
        </is>
      </c>
      <c r="E14" s="14" t="inlineStr">
        <is>
          <t>Audiencia pública</t>
        </is>
      </c>
      <c r="F14" s="14" t="inlineStr">
        <is>
          <t>ep_tvaldes@colbun.cl</t>
        </is>
      </c>
      <c r="G14" s="14" t="inlineStr">
        <is>
          <t>Comisión</t>
        </is>
      </c>
      <c r="H14" s="14" t="n">
        <v>10</v>
      </c>
      <c r="I14" s="14" t="inlineStr">
        <is>
          <t>Hábiles</t>
        </is>
      </c>
      <c r="J14" s="20" t="n"/>
      <c r="K14" s="15" t="n"/>
      <c r="L14" s="15">
        <f>IF(I14="Corridos",H14+N12,WORKDAY(N12,H14,Tabla4[Fecha]))</f>
        <v/>
      </c>
      <c r="M14" s="15" t="n">
        <v>45824</v>
      </c>
      <c r="N14" s="40">
        <f>IF(ISBLANK(M14),L14,M14)</f>
        <v/>
      </c>
      <c r="O14" s="47">
        <f>N14-TODAY()</f>
        <v/>
      </c>
      <c r="P14" s="11" t="inlineStr">
        <is>
          <t>Si</t>
        </is>
      </c>
      <c r="Q14" s="11" t="inlineStr">
        <is>
          <t>Sesión oral ante el Panel de Expertos</t>
        </is>
      </c>
      <c r="R14" s="63" t="inlineStr">
        <is>
          <t>Ejecutivos y abogados deben presentarse y exponer.</t>
        </is>
      </c>
    </row>
    <row r="15" ht="66.59999999999999" customHeight="1" thickBot="1">
      <c r="A15" s="51" t="n">
        <v>8</v>
      </c>
      <c r="B15" s="14" t="inlineStr">
        <is>
          <t>Decreto 37</t>
        </is>
      </c>
      <c r="C15" s="14" t="n">
        <v>2024</v>
      </c>
      <c r="D15" s="14" t="inlineStr">
        <is>
          <t>Planificación de la Transmisión</t>
        </is>
      </c>
      <c r="E15" s="14" t="inlineStr">
        <is>
          <t>Dictamen del Panel de Expertos</t>
        </is>
      </c>
      <c r="F15" s="14" t="inlineStr">
        <is>
          <t>ep_tvaldes@colbun.cl</t>
        </is>
      </c>
      <c r="G15" s="14" t="inlineStr">
        <is>
          <t>Comisión</t>
        </is>
      </c>
      <c r="H15" s="14" t="n">
        <v>50</v>
      </c>
      <c r="I15" s="14" t="inlineStr">
        <is>
          <t>Corridos</t>
        </is>
      </c>
      <c r="J15" s="20" t="n"/>
      <c r="K15" s="15" t="n"/>
      <c r="L15" s="15">
        <f>IF(I15="Corridos",H15+N14,WORKDAY(N14,H15,Tabla4[Fecha]))</f>
        <v/>
      </c>
      <c r="M15" s="15" t="n">
        <v>45908</v>
      </c>
      <c r="N15" s="40">
        <f>IF(ISBLANK(M15),L15,M15)</f>
        <v/>
      </c>
      <c r="O15" s="47">
        <f>N15-TODAY()</f>
        <v/>
      </c>
      <c r="P15" s="11" t="inlineStr">
        <is>
          <t>No</t>
        </is>
      </c>
      <c r="Q15" s="11" t="inlineStr">
        <is>
          <t>El Panel emite su fallo definitivo e inapelable. Resuelve si acepta o rechaza las discrepancias presentadas.</t>
        </is>
      </c>
      <c r="R15" s="63" t="inlineStr">
        <is>
          <t>Analizar fallo inmediatamente.</t>
        </is>
      </c>
      <c r="S15" t="inlineStr">
        <is>
          <t>*84 días demoro debido a solicitudes de extensión de plazos</t>
        </is>
      </c>
    </row>
    <row r="16" ht="53.45" customHeight="1" thickBot="1">
      <c r="A16" s="51" t="n">
        <v>9</v>
      </c>
      <c r="B16" s="14" t="inlineStr">
        <is>
          <t>Decreto 37</t>
        </is>
      </c>
      <c r="C16" s="14" t="n">
        <v>2024</v>
      </c>
      <c r="D16" s="14" t="inlineStr">
        <is>
          <t>Planificación de la Transmisión</t>
        </is>
      </c>
      <c r="E16" s="14" t="inlineStr">
        <is>
          <t>Remisión de Informe técnico Definitivo</t>
        </is>
      </c>
      <c r="F16" s="14" t="inlineStr">
        <is>
          <t>ep_tvaldes@colbun.cl</t>
        </is>
      </c>
      <c r="G16" s="14" t="inlineStr">
        <is>
          <t>Comisión</t>
        </is>
      </c>
      <c r="H16" s="14" t="n">
        <v>15</v>
      </c>
      <c r="I16" s="14" t="inlineStr">
        <is>
          <t>Hábiles</t>
        </is>
      </c>
      <c r="J16" s="20" t="n"/>
      <c r="K16" s="15" t="n"/>
      <c r="L16" s="15">
        <f>IF(I16="Corridos",H16+N15,WORKDAY(N15,H16,Tabla4[Fecha]))</f>
        <v/>
      </c>
      <c r="M16" s="15" t="n">
        <v>45931</v>
      </c>
      <c r="N16" s="40">
        <f>IF(ISBLANK(M16),L16,M16)</f>
        <v/>
      </c>
      <c r="O16" s="47">
        <f>N16-TODAY()</f>
        <v/>
      </c>
      <c r="P16" s="11" t="inlineStr">
        <is>
          <t>No</t>
        </is>
      </c>
      <c r="Q16" s="11" t="inlineStr">
        <is>
          <t>La CNE ajusta el plan según lo ordenado por el Panel y envía la versión final consolidada al Ministerio.</t>
        </is>
      </c>
      <c r="R16" s="63" t="inlineStr">
        <is>
          <t>Marca el fin del trabajo de la CNE y el pase al Ministerio.</t>
        </is>
      </c>
    </row>
    <row r="17" ht="66.59999999999999" customHeight="1" thickBot="1">
      <c r="A17" s="51" t="n">
        <v>9</v>
      </c>
      <c r="B17" s="14" t="inlineStr">
        <is>
          <t>Decreto 37</t>
        </is>
      </c>
      <c r="C17" s="14" t="n">
        <v>2024</v>
      </c>
      <c r="D17" s="14" t="inlineStr">
        <is>
          <t>Planificación de la Transmisión</t>
        </is>
      </c>
      <c r="E17" s="14" t="inlineStr">
        <is>
          <t>Decreto exteno  de Informe Técnico Definitivo</t>
        </is>
      </c>
      <c r="F17" s="14" t="inlineStr">
        <is>
          <t>ep_tvaldes@colbun.cl</t>
        </is>
      </c>
      <c r="G17" s="14" t="inlineStr">
        <is>
          <t>Ministerio de Energía</t>
        </is>
      </c>
      <c r="H17" s="14" t="n">
        <v>15</v>
      </c>
      <c r="I17" s="14" t="inlineStr">
        <is>
          <t>Hábiles</t>
        </is>
      </c>
      <c r="J17" s="20" t="n"/>
      <c r="K17" s="15" t="n"/>
      <c r="L17" s="15">
        <f>IF(I17="Corridos",H17+N16,WORKDAY(N16,H17,Tabla4[Fecha]))</f>
        <v/>
      </c>
      <c r="M17" s="15" t="n"/>
      <c r="N17" s="40">
        <f>IF(ISBLANK(M17),L17,M17)</f>
        <v/>
      </c>
      <c r="O17" s="47">
        <f>N17-TODAY()</f>
        <v/>
      </c>
      <c r="P17" s="11" t="inlineStr">
        <is>
          <t>No</t>
        </is>
      </c>
      <c r="Q17" s="11" t="inlineStr">
        <is>
          <t>El Ministerio publica el Decreto en el Diario Oficial. Nacen legalmente las obras y comienzan a correr los plazos de licitación.</t>
        </is>
      </c>
      <c r="R17" s="63" t="inlineStr">
        <is>
          <t>Descargar Decreto. Revisar cronograma de licitaciones.</t>
        </is>
      </c>
    </row>
    <row r="18" ht="53.45" customHeight="1" thickBot="1">
      <c r="A18" s="65" t="n">
        <v>10</v>
      </c>
      <c r="B18" s="65" t="inlineStr">
        <is>
          <t>Decreto 37</t>
        </is>
      </c>
      <c r="C18" s="26" t="n">
        <v>2025</v>
      </c>
      <c r="D18" s="26" t="inlineStr">
        <is>
          <t>Planificación de la Transmisión</t>
        </is>
      </c>
      <c r="E18" s="26" t="inlineStr">
        <is>
          <t xml:space="preserve">Propuesta de Expansión de la Transmisión al SEN </t>
        </is>
      </c>
      <c r="F18" s="66" t="inlineStr">
        <is>
          <t>ep_tvaldes@colbun.cl</t>
        </is>
      </c>
      <c r="G18" s="26" t="inlineStr">
        <is>
          <t>Coordinador</t>
        </is>
      </c>
      <c r="H18" s="26" t="n"/>
      <c r="I18" s="26" t="inlineStr">
        <is>
          <t>Inicio</t>
        </is>
      </c>
      <c r="J18" s="60" t="n"/>
      <c r="K18" s="27" t="n">
        <v>45679</v>
      </c>
      <c r="L18" s="27" t="n">
        <v>45679</v>
      </c>
      <c r="M18" s="27" t="n">
        <v>45679</v>
      </c>
      <c r="N18" s="67">
        <f>IF(ISBLANK(M18),L18,M18)</f>
        <v/>
      </c>
      <c r="O18" s="68">
        <f>N18-TODAY()</f>
        <v/>
      </c>
      <c r="P18" s="11" t="inlineStr">
        <is>
          <t>No</t>
        </is>
      </c>
      <c r="Q18" s="11" t="inlineStr">
        <is>
          <t>El Coordinador entrega su visión técnica inicial de las obras necesarias. Inicio del proceso regulatorio anual</t>
        </is>
      </c>
      <c r="R18" s="63" t="inlineStr">
        <is>
          <t>Solo monitoreo. Revisar si proponen obras que impacten zonas de interés.</t>
        </is>
      </c>
      <c r="S18" t="inlineStr">
        <is>
          <t>*Inicio de proceso 2025</t>
        </is>
      </c>
    </row>
    <row r="19" ht="79.90000000000001" customHeight="1" thickBot="1">
      <c r="A19" s="65" t="n">
        <v>10</v>
      </c>
      <c r="B19" s="65" t="inlineStr">
        <is>
          <t>Decreto 37</t>
        </is>
      </c>
      <c r="C19" s="26" t="n">
        <v>2025</v>
      </c>
      <c r="D19" s="26" t="inlineStr">
        <is>
          <t>Planificación de la Transmisión</t>
        </is>
      </c>
      <c r="E19" s="26" t="inlineStr">
        <is>
          <t>Convocatoria de interesados en etapa de presentación de propuestas de proyectos de expansión de la Transmisión</t>
        </is>
      </c>
      <c r="F19" s="66" t="inlineStr">
        <is>
          <t>ep_tvaldes@colbun.cl</t>
        </is>
      </c>
      <c r="G19" s="26" t="inlineStr">
        <is>
          <t>CNE</t>
        </is>
      </c>
      <c r="H19" s="26" t="n">
        <v>5</v>
      </c>
      <c r="I19" s="26" t="inlineStr">
        <is>
          <t>Hábiles</t>
        </is>
      </c>
      <c r="J19" s="60" t="n"/>
      <c r="K19" s="27">
        <f>IF(I19="Corridos",H19+K18,WORKDAY(K18,H19,Tabla4[Fecha]))</f>
        <v/>
      </c>
      <c r="L19" s="27">
        <f>IF(I19="Corridos",H19+N18,WORKDAY(N18,H19,Tabla4[Fecha]))</f>
        <v/>
      </c>
      <c r="M19" s="27" t="n"/>
      <c r="N19" s="27">
        <f>IF(ISBLANK(M19),L19,M19)</f>
        <v/>
      </c>
      <c r="O19" s="60">
        <f>N19-TODAY()</f>
        <v/>
      </c>
      <c r="P19" s="11" t="inlineStr">
        <is>
          <t>Si</t>
        </is>
      </c>
      <c r="Q19" s="11" t="inlineStr">
        <is>
          <t>La CNE publica la propuesta del CEN y abre oficialmente la ventanilla para que terceros propongan proyectos distintos.</t>
        </is>
      </c>
      <c r="R19" s="63" t="inlineStr">
        <is>
          <t>Si deseas proponer obras: Inicia preparación de anteproyectos técnicos y económicos</t>
        </is>
      </c>
    </row>
    <row r="20" ht="53.45" customHeight="1" thickBot="1">
      <c r="A20" s="65" t="n">
        <v>11</v>
      </c>
      <c r="B20" s="65" t="inlineStr">
        <is>
          <t>Decreto 37</t>
        </is>
      </c>
      <c r="C20" s="26" t="n">
        <v>2025</v>
      </c>
      <c r="D20" s="26" t="inlineStr">
        <is>
          <t>Planificación de la Transmisión</t>
        </is>
      </c>
      <c r="E20" s="26" t="inlineStr">
        <is>
          <t xml:space="preserve">Presentación de Propuestas de Expansión de la Transmisión </t>
        </is>
      </c>
      <c r="F20" s="66" t="inlineStr">
        <is>
          <t>ep_tvaldes@colbun.cl</t>
        </is>
      </c>
      <c r="G20" s="26" t="inlineStr">
        <is>
          <t>Interasados</t>
        </is>
      </c>
      <c r="H20" s="26" t="n">
        <v>70</v>
      </c>
      <c r="I20" s="26" t="inlineStr">
        <is>
          <t>Corridos</t>
        </is>
      </c>
      <c r="J20" s="60" t="n"/>
      <c r="K20" s="27">
        <f>IF(I20="Corridos",H20+K19,WORKDAY(K19,H20,Tabla4[Fecha]))</f>
        <v/>
      </c>
      <c r="L20" s="27">
        <f>IF(I20="Corridos",H20+N19,WORKDAY(N19,H20,Tabla4[Fecha]))</f>
        <v/>
      </c>
      <c r="M20" s="27" t="n">
        <v>45775</v>
      </c>
      <c r="N20" s="27">
        <f>IF(ISBLANK(M20),L20,M20)</f>
        <v/>
      </c>
      <c r="O20" s="60">
        <f>N20-TODAY()</f>
        <v/>
      </c>
      <c r="P20" s="11" t="inlineStr">
        <is>
          <t>Si</t>
        </is>
      </c>
      <c r="Q20" s="11" t="inlineStr">
        <is>
          <t>Fecha límite para ingresar propuestas de proyectos de expansión a la CNE.</t>
        </is>
      </c>
      <c r="R20" s="63" t="inlineStr">
        <is>
          <t>Debes enviar formulario y carpeta técnica a la CNE antes de esta fecha.</t>
        </is>
      </c>
    </row>
    <row r="21" ht="53.45" customHeight="1" thickBot="1">
      <c r="A21" s="71" t="n">
        <v>12</v>
      </c>
      <c r="B21" s="71" t="inlineStr">
        <is>
          <t>Decreto 37</t>
        </is>
      </c>
      <c r="C21" s="72" t="n">
        <v>2025</v>
      </c>
      <c r="D21" s="72" t="inlineStr">
        <is>
          <t>Planificación de la Transmisión</t>
        </is>
      </c>
      <c r="E21" s="72" t="inlineStr">
        <is>
          <t>Publicación de Propuestas en pagina Web</t>
        </is>
      </c>
      <c r="F21" s="73" t="inlineStr">
        <is>
          <t>ep_tvaldes@colbun.cl</t>
        </is>
      </c>
      <c r="G21" s="72" t="inlineStr">
        <is>
          <t>Comisión</t>
        </is>
      </c>
      <c r="H21" s="72" t="n">
        <v>10</v>
      </c>
      <c r="I21" s="72" t="inlineStr">
        <is>
          <t>Hábiles</t>
        </is>
      </c>
      <c r="J21" s="74" t="n"/>
      <c r="K21" s="75">
        <f>IF(I21="Corridos",H21+K20,WORKDAY(K20,H21,Tabla4[Fecha]))</f>
        <v/>
      </c>
      <c r="L21" s="75">
        <f>IF(I21="Corridos",H21+N20,WORKDAY(N20,H21,Tabla4[Fecha]))</f>
        <v/>
      </c>
      <c r="M21" s="75" t="n">
        <v>45790</v>
      </c>
      <c r="N21" s="75">
        <f>IF(ISBLANK(M21),L21,M21)</f>
        <v/>
      </c>
      <c r="O21" s="74">
        <f>N21-TODAY()</f>
        <v/>
      </c>
      <c r="P21" s="75" t="inlineStr">
        <is>
          <t>No</t>
        </is>
      </c>
      <c r="Q21" s="75" t="inlineStr">
        <is>
          <t>La CNE hace públicas todas las propuestas recibidas (CEN + Promotores)</t>
        </is>
      </c>
      <c r="R21" s="76" t="inlineStr">
        <is>
          <t>Revisar qué propusieron otros actores o competidores en tus zonas de influencia</t>
        </is>
      </c>
    </row>
    <row r="22" ht="110.45" customHeight="1" thickBot="1">
      <c r="A22" s="65" t="n">
        <v>13</v>
      </c>
      <c r="B22" s="65" t="inlineStr">
        <is>
          <t>Decreto 37</t>
        </is>
      </c>
      <c r="C22" s="26" t="n">
        <v>2025</v>
      </c>
      <c r="D22" s="26" t="inlineStr">
        <is>
          <t>Planificación de la Transmisión</t>
        </is>
      </c>
      <c r="E22" s="26" t="inlineStr">
        <is>
          <t>Complemento a la propuesta de expasión de la Transmisión</t>
        </is>
      </c>
      <c r="F22" s="66" t="inlineStr">
        <is>
          <t>ep_tvaldes@colbun.cl</t>
        </is>
      </c>
      <c r="G22" s="26" t="inlineStr">
        <is>
          <t>Coordinador</t>
        </is>
      </c>
      <c r="H22" s="26" t="n">
        <v>30</v>
      </c>
      <c r="I22" s="26" t="inlineStr">
        <is>
          <t>Hábiles</t>
        </is>
      </c>
      <c r="J22" s="60" t="n"/>
      <c r="K22" s="27">
        <f>IF(I22="Corridos",H22+K20,WORKDAY(K20,H22,Tabla4[Fecha]))</f>
        <v/>
      </c>
      <c r="L22" s="27">
        <f>IF(I22="Corridos",H22+N20,WORKDAY(N20,H22,Tabla4[Fecha]))</f>
        <v/>
      </c>
      <c r="M22" s="27" t="n">
        <v>46053</v>
      </c>
      <c r="N22" s="27">
        <f>IF(ISBLANK(M22),L22,M22)</f>
        <v/>
      </c>
      <c r="O22" s="60">
        <f>N22-TODAY()</f>
        <v/>
      </c>
      <c r="P22" s="11" t="inlineStr">
        <is>
          <t>No</t>
        </is>
      </c>
      <c r="Q22" s="11" t="inlineStr">
        <is>
          <t>El Coordinador puede actualizar su propuesta original (de enero) integrando proyectos presentados por terceros o nueva información de demanda.</t>
        </is>
      </c>
      <c r="R22" s="63" t="inlineStr">
        <is>
          <t>Monitoreo: Revisar si el Coordinador acogió o rechazó proyectos de interés en esta actualización.</t>
        </is>
      </c>
      <c r="S22" t="inlineStr">
        <is>
          <t>*No ha pasado</t>
        </is>
      </c>
    </row>
    <row r="23" ht="79.90000000000001" customHeight="1" thickBot="1">
      <c r="A23" s="65" t="n">
        <v>14</v>
      </c>
      <c r="B23" s="65" t="inlineStr">
        <is>
          <t>Decreto 37</t>
        </is>
      </c>
      <c r="C23" s="26" t="n">
        <v>2025</v>
      </c>
      <c r="D23" s="26" t="inlineStr">
        <is>
          <t>Planificación de la Transmisión</t>
        </is>
      </c>
      <c r="E23" s="26" t="inlineStr">
        <is>
          <t>Solicitud de antedecedentes complementariosa promotores de proyectos</t>
        </is>
      </c>
      <c r="F23" s="66" t="inlineStr">
        <is>
          <t>ep_tvaldes@colbun.cl</t>
        </is>
      </c>
      <c r="G23" s="26" t="inlineStr">
        <is>
          <t>Comisión</t>
        </is>
      </c>
      <c r="H23" s="26" t="n">
        <v>70</v>
      </c>
      <c r="I23" s="26" t="inlineStr">
        <is>
          <t>Hábiles</t>
        </is>
      </c>
      <c r="J23" s="60" t="n"/>
      <c r="K23" s="27">
        <f>IF(I23="Corridos",H23+K22,WORKDAY(K22,H23,Tabla4[Fecha]))</f>
        <v/>
      </c>
      <c r="L23" s="27">
        <f>IF(I23="Corridos",H23+N22,WORKDAY(N22,H23,Tabla4[Fecha]))</f>
        <v/>
      </c>
      <c r="M23" s="27" t="n"/>
      <c r="N23" s="27">
        <f>IF(ISBLANK(M23),L23,M23)</f>
        <v/>
      </c>
      <c r="O23" s="60">
        <f>N23-TODAY()</f>
        <v/>
      </c>
      <c r="P23" s="11" t="inlineStr">
        <is>
          <t>Si</t>
        </is>
      </c>
      <c r="Q23" s="11" t="inlineStr">
        <is>
          <t>La CNE solicita información técnica adicional a los promotores para poder evaluar sus proyectos. Plazo crítico para evitar que desechen una propuesta.</t>
        </is>
      </c>
      <c r="R23" s="63" t="inlineStr">
        <is>
          <t>Debes responder formalmente a la CNE. Si no respondes, tu proyecto puede ser descartado.</t>
        </is>
      </c>
    </row>
    <row r="24" ht="66.59999999999999" customHeight="1" thickBot="1">
      <c r="A24" s="65" t="n">
        <v>15</v>
      </c>
      <c r="B24" s="65" t="inlineStr">
        <is>
          <t>Decreto 37</t>
        </is>
      </c>
      <c r="C24" s="26" t="n">
        <v>2025</v>
      </c>
      <c r="D24" s="26" t="inlineStr">
        <is>
          <t>Planificación de la Transmisión</t>
        </is>
      </c>
      <c r="E24" s="26" t="inlineStr">
        <is>
          <t>Emisión de Informe técnico preliminar</t>
        </is>
      </c>
      <c r="F24" s="66" t="inlineStr">
        <is>
          <t>ep_tvaldes@colbun.cl</t>
        </is>
      </c>
      <c r="G24" s="26" t="inlineStr">
        <is>
          <t>Comisión</t>
        </is>
      </c>
      <c r="H24" s="26" t="n"/>
      <c r="I24" s="26" t="n"/>
      <c r="J24" s="60" t="n"/>
      <c r="K24" s="27">
        <f>IF(I24="Corridos",H24+K23,WORKDAY(K23,H24,Tabla4[Fecha]))</f>
        <v/>
      </c>
      <c r="L24" s="27">
        <f>IF(I24="Corridos",H24+N23,WORKDAY(N23,H24,Tabla4[Fecha]))</f>
        <v/>
      </c>
      <c r="M24" s="27" t="n"/>
      <c r="N24" s="27">
        <f>IF(ISBLANK(M24),L24,M24)</f>
        <v/>
      </c>
      <c r="O24" s="60">
        <f>N24-TODAY()</f>
        <v/>
      </c>
      <c r="P24" s="11" t="inlineStr">
        <is>
          <t>Si</t>
        </is>
      </c>
      <c r="Q24" s="11" t="inlineStr">
        <is>
          <t>La CNE publica el primer borrador oficial del Plan. Define qué obras se aprueban preliminarmente y cuáles se rechazan.</t>
        </is>
      </c>
      <c r="R24" s="63" t="inlineStr">
        <is>
          <t>Inicia la cuenta regresiva de 10 días para observaciones</t>
        </is>
      </c>
      <c r="S24" t="inlineStr">
        <is>
          <t>*Dentro del tercer trimestre del año / Se desconoce la fecha téorica</t>
        </is>
      </c>
    </row>
    <row r="25" ht="66.59999999999999" customHeight="1" thickBot="1">
      <c r="A25" s="65" t="n">
        <v>16</v>
      </c>
      <c r="B25" s="65" t="inlineStr">
        <is>
          <t>Decreto 37</t>
        </is>
      </c>
      <c r="C25" s="26" t="n">
        <v>2025</v>
      </c>
      <c r="D25" s="26" t="inlineStr">
        <is>
          <t>Planificación de la Transmisión</t>
        </is>
      </c>
      <c r="E25" s="26" t="inlineStr">
        <is>
          <t xml:space="preserve">Presentación de observaciones del Informe técnico preliminar a la comisión </t>
        </is>
      </c>
      <c r="F25" s="66" t="inlineStr">
        <is>
          <t>ep_tvaldes@colbun.cl</t>
        </is>
      </c>
      <c r="G25" s="26" t="inlineStr">
        <is>
          <t>Comisión</t>
        </is>
      </c>
      <c r="H25" s="26" t="n">
        <v>10</v>
      </c>
      <c r="I25" s="26" t="inlineStr">
        <is>
          <t>Hábiles</t>
        </is>
      </c>
      <c r="J25" s="60" t="n"/>
      <c r="K25" s="27">
        <f>IF(I25="Corridos",H25+K24,WORKDAY(K24,H25,Tabla4[Fecha]))</f>
        <v/>
      </c>
      <c r="L25" s="27">
        <f>IF(I25="Corridos",H25+N24,WORKDAY(N24,H25,Tabla4[Fecha]))</f>
        <v/>
      </c>
      <c r="M25" s="27" t="n"/>
      <c r="N25" s="27">
        <f>IF(ISBLANK(M25),L25,M25)</f>
        <v/>
      </c>
      <c r="O25" s="60">
        <f>N25-TODAY()</f>
        <v/>
      </c>
      <c r="P25" s="11" t="inlineStr">
        <is>
          <t>Si</t>
        </is>
      </c>
      <c r="Q25" s="11" t="inlineStr">
        <is>
          <t>Vencimiento de Plazo para ingresar observaciones formales ante la CNE impugnando el Informe Preliminar.</t>
        </is>
      </c>
      <c r="R25" s="63" t="inlineStr">
        <is>
          <t>Subir observaciones a la plataforma CNE. Si no observas aquí, pierdes derecho a ir al Panel de expertos después.</t>
        </is>
      </c>
    </row>
    <row r="26" ht="66.59999999999999" customHeight="1" thickBot="1">
      <c r="A26" s="65" t="n">
        <v>17</v>
      </c>
      <c r="B26" s="65" t="inlineStr">
        <is>
          <t>Decreto 37</t>
        </is>
      </c>
      <c r="C26" s="26" t="n">
        <v>2025</v>
      </c>
      <c r="D26" s="26" t="inlineStr">
        <is>
          <t>Planificación de la Transmisión</t>
        </is>
      </c>
      <c r="E26" s="26" t="inlineStr">
        <is>
          <t xml:space="preserve">Emisión de Informe técnico Final </t>
        </is>
      </c>
      <c r="F26" s="66" t="inlineStr">
        <is>
          <t>ep_tvaldes@colbun.cl</t>
        </is>
      </c>
      <c r="G26" s="26" t="inlineStr">
        <is>
          <t>Comisión</t>
        </is>
      </c>
      <c r="H26" s="26" t="n">
        <v>30</v>
      </c>
      <c r="I26" s="26" t="inlineStr">
        <is>
          <t>Hábiles</t>
        </is>
      </c>
      <c r="J26" s="60" t="n"/>
      <c r="K26" s="27">
        <f>IF(I26="Corridos",H26+K25,WORKDAY(K25,H26,Tabla4[Fecha]))</f>
        <v/>
      </c>
      <c r="L26" s="27">
        <f>IF(I26="Corridos",H26+N25,WORKDAY(N25,H26,Tabla4[Fecha]))</f>
        <v/>
      </c>
      <c r="M26" s="27" t="n"/>
      <c r="N26" s="27">
        <f>IF(ISBLANK(M26),L26,M26)</f>
        <v/>
      </c>
      <c r="O26" s="60">
        <f>N26-TODAY()</f>
        <v/>
      </c>
      <c r="P26" s="11" t="inlineStr">
        <is>
          <t>No</t>
        </is>
      </c>
      <c r="Q26" s="11" t="inlineStr">
        <is>
          <t>La CNE emite la versión definitiva técnica del Plan, respondiendo (aceptando o rechazando) las observaciones realizadas.</t>
        </is>
      </c>
      <c r="R26" s="63" t="inlineStr">
        <is>
          <t>Verificar si las observaciones realizadas fueron acogidas.</t>
        </is>
      </c>
    </row>
    <row r="27" ht="66.59999999999999" customHeight="1" thickBot="1">
      <c r="A27" s="65" t="n">
        <v>18</v>
      </c>
      <c r="B27" s="65" t="inlineStr">
        <is>
          <t>Decreto 37</t>
        </is>
      </c>
      <c r="C27" s="26" t="n">
        <v>2025</v>
      </c>
      <c r="D27" s="26" t="inlineStr">
        <is>
          <t>Planificación de la Transmisión</t>
        </is>
      </c>
      <c r="E27" s="26" t="inlineStr">
        <is>
          <t>Presentación de discrepancias al Panel de Expertos</t>
        </is>
      </c>
      <c r="F27" s="66" t="inlineStr">
        <is>
          <t>ep_tvaldes@colbun.cl</t>
        </is>
      </c>
      <c r="G27" s="26" t="inlineStr">
        <is>
          <t>Interasados</t>
        </is>
      </c>
      <c r="H27" s="26" t="n">
        <v>15</v>
      </c>
      <c r="I27" s="26" t="inlineStr">
        <is>
          <t>Hábiles</t>
        </is>
      </c>
      <c r="J27" s="60" t="n"/>
      <c r="K27" s="27">
        <f>IF(I27="Corridos",H27+K26,WORKDAY(K26,H27,Tabla4[Fecha]))</f>
        <v/>
      </c>
      <c r="L27" s="27">
        <f>IF(I27="Corridos",H27+N26,WORKDAY(N26,H27,Tabla4[Fecha]))</f>
        <v/>
      </c>
      <c r="M27" s="27" t="n"/>
      <c r="N27" s="27">
        <f>IF(ISBLANK(M27),L27,M27)</f>
        <v/>
      </c>
      <c r="O27" s="60">
        <f>N27-TODAY()</f>
        <v/>
      </c>
      <c r="P27" s="11" t="inlineStr">
        <is>
          <t>Si</t>
        </is>
      </c>
      <c r="Q27" s="11" t="inlineStr">
        <is>
          <t>Plazo límite para apelar ante el Panel de Expertos si persisten desacuerdos con el Informe Final.</t>
        </is>
      </c>
      <c r="R27" s="63" t="inlineStr">
        <is>
          <t>Solo si la respuesta en el ITF no fue satisfactoria. Requiere presentación de escrito legal/técnico al Panel.</t>
        </is>
      </c>
    </row>
    <row r="28" ht="40.15" customHeight="1" thickBot="1">
      <c r="A28" s="65" t="n">
        <v>19</v>
      </c>
      <c r="B28" s="65" t="inlineStr">
        <is>
          <t>Decreto 37</t>
        </is>
      </c>
      <c r="C28" s="26" t="n">
        <v>2025</v>
      </c>
      <c r="D28" s="26" t="inlineStr">
        <is>
          <t>Planificación de la Transmisión</t>
        </is>
      </c>
      <c r="E28" s="26" t="inlineStr">
        <is>
          <t>Convocatoria audiencia pública</t>
        </is>
      </c>
      <c r="F28" s="66" t="inlineStr">
        <is>
          <t>ep_tvaldes@colbun.cl</t>
        </is>
      </c>
      <c r="G28" s="26" t="inlineStr">
        <is>
          <t>Interasados</t>
        </is>
      </c>
      <c r="H28" s="26" t="n">
        <v>5</v>
      </c>
      <c r="I28" s="26" t="inlineStr">
        <is>
          <t>Hábiles</t>
        </is>
      </c>
      <c r="J28" s="60" t="n"/>
      <c r="K28" s="27">
        <f>IF(I28="Corridos",H28+K27,WORKDAY(K27,H28,Tabla4[Fecha]))</f>
        <v/>
      </c>
      <c r="L28" s="27">
        <f>IF(I28="Corridos",H28+N27,WORKDAY(N27,H28,Tabla4[Fecha]))</f>
        <v/>
      </c>
      <c r="M28" s="27" t="n"/>
      <c r="N28" s="27">
        <f>IF(ISBLANK(M28),L28,M28)</f>
        <v/>
      </c>
      <c r="O28" s="60">
        <f>N28-TODAY()</f>
        <v/>
      </c>
      <c r="P28" s="11" t="inlineStr">
        <is>
          <t>Si</t>
        </is>
      </c>
      <c r="Q28" s="11" t="inlineStr">
        <is>
          <t>El Panel cita oficialmente a las partes. Se fija fecha y hora para los alegatos.</t>
        </is>
      </c>
      <c r="R28" s="63" t="inlineStr">
        <is>
          <t>Confirmar recepción de citación</t>
        </is>
      </c>
    </row>
    <row r="29" ht="53.45" customHeight="1" thickBot="1">
      <c r="A29" s="65" t="n">
        <v>20</v>
      </c>
      <c r="B29" s="65" t="inlineStr">
        <is>
          <t>Decreto 37</t>
        </is>
      </c>
      <c r="C29" s="26" t="n">
        <v>2025</v>
      </c>
      <c r="D29" s="26" t="inlineStr">
        <is>
          <t>Planificación de la Transmisión</t>
        </is>
      </c>
      <c r="E29" s="26" t="inlineStr">
        <is>
          <t>Presentación de nomina de asistentes</t>
        </is>
      </c>
      <c r="F29" s="66" t="inlineStr">
        <is>
          <t>ep_tvaldes@colbun.cl</t>
        </is>
      </c>
      <c r="G29" s="26" t="inlineStr">
        <is>
          <t>Comisión</t>
        </is>
      </c>
      <c r="H29" s="26" t="n">
        <v>3</v>
      </c>
      <c r="I29" s="26" t="inlineStr">
        <is>
          <t>Hábiles</t>
        </is>
      </c>
      <c r="J29" s="60" t="n"/>
      <c r="K29" s="27">
        <f>IF(I29="Corridos",H29+K28,WORKDAY(K28,H29,Tabla4[Fecha]))</f>
        <v/>
      </c>
      <c r="L29" s="27">
        <f>IF(I29="Corridos",H29+N28,WORKDAY(N28,H29,Tabla4[Fecha]))</f>
        <v/>
      </c>
      <c r="M29" s="27" t="n"/>
      <c r="N29" s="27">
        <f>IF(ISBLANK(M29),L29,M29)</f>
        <v/>
      </c>
      <c r="O29" s="60">
        <f>N29-TODAY()</f>
        <v/>
      </c>
      <c r="P29" s="11" t="inlineStr">
        <is>
          <t>Si</t>
        </is>
      </c>
      <c r="Q29" s="11" t="inlineStr">
        <is>
          <t>Plazo administrativo previo a la audiencia para informar al Panel los nombres y RUT de quienes asistirán.</t>
        </is>
      </c>
      <c r="R29" s="63" t="inlineStr">
        <is>
          <t>Enviar correo al secretario del Panel con la lista.</t>
        </is>
      </c>
    </row>
    <row r="30" ht="40.15" customHeight="1" thickBot="1">
      <c r="A30" s="65" t="n"/>
      <c r="B30" s="65" t="inlineStr">
        <is>
          <t>Decreto 37</t>
        </is>
      </c>
      <c r="C30" s="26" t="n">
        <v>2025</v>
      </c>
      <c r="D30" s="26" t="inlineStr">
        <is>
          <t>Planificación de la Transmisión</t>
        </is>
      </c>
      <c r="E30" s="26" t="inlineStr">
        <is>
          <t>Audiencia pública</t>
        </is>
      </c>
      <c r="F30" s="66" t="inlineStr">
        <is>
          <t>ep_tvaldes@colbun.cl</t>
        </is>
      </c>
      <c r="G30" s="26" t="inlineStr">
        <is>
          <t>Comisión</t>
        </is>
      </c>
      <c r="H30" s="26" t="n">
        <v>10</v>
      </c>
      <c r="I30" s="26" t="inlineStr">
        <is>
          <t>Hábiles</t>
        </is>
      </c>
      <c r="J30" s="60" t="n"/>
      <c r="K30" s="27">
        <f>IF(I30="Corridos",H30+K28,WORKDAY(K28,H30,Tabla4[Fecha]))</f>
        <v/>
      </c>
      <c r="L30" s="27">
        <f>IF(I30="Corridos",H30+N28,WORKDAY(N28,H30,Tabla4[Fecha]))</f>
        <v/>
      </c>
      <c r="M30" s="27" t="n"/>
      <c r="N30" s="27">
        <f>IF(ISBLANK(M30),L30,M30)</f>
        <v/>
      </c>
      <c r="O30" s="60">
        <f>N30-TODAY()</f>
        <v/>
      </c>
      <c r="P30" s="11" t="inlineStr">
        <is>
          <t>Si</t>
        </is>
      </c>
      <c r="Q30" s="11" t="inlineStr">
        <is>
          <t>Sesión oral ante el Panel de Expertos</t>
        </is>
      </c>
      <c r="R30" s="63" t="inlineStr">
        <is>
          <t>Ejecutivos y abogados deben presentarse y exponer.</t>
        </is>
      </c>
    </row>
    <row r="31" ht="66.59999999999999" customHeight="1" thickBot="1">
      <c r="A31" s="65" t="n"/>
      <c r="B31" s="65" t="inlineStr">
        <is>
          <t>Decreto 37</t>
        </is>
      </c>
      <c r="C31" s="26" t="n">
        <v>2025</v>
      </c>
      <c r="D31" s="26" t="inlineStr">
        <is>
          <t>Planificación de la Transmisión</t>
        </is>
      </c>
      <c r="E31" s="26" t="inlineStr">
        <is>
          <t>Dictamen del Panel de Expertos</t>
        </is>
      </c>
      <c r="F31" s="66" t="inlineStr">
        <is>
          <t>ep_tvaldes@colbun.cl</t>
        </is>
      </c>
      <c r="G31" s="26" t="inlineStr">
        <is>
          <t>Comisión</t>
        </is>
      </c>
      <c r="H31" s="26" t="n">
        <v>50</v>
      </c>
      <c r="I31" s="26" t="inlineStr">
        <is>
          <t>Corridos</t>
        </is>
      </c>
      <c r="J31" s="60" t="n"/>
      <c r="K31" s="27">
        <f>IF(I31="Corridos",H31+K30,WORKDAY(K30,H31,Tabla4[Fecha]))</f>
        <v/>
      </c>
      <c r="L31" s="27">
        <f>IF(I31="Corridos",H31+N30,WORKDAY(N30,H31,Tabla4[Fecha]))</f>
        <v/>
      </c>
      <c r="M31" s="27" t="n"/>
      <c r="N31" s="27">
        <f>IF(ISBLANK(M31),L31,M31)</f>
        <v/>
      </c>
      <c r="O31" s="60">
        <f>N31-TODAY()</f>
        <v/>
      </c>
      <c r="P31" s="11" t="inlineStr">
        <is>
          <t>No</t>
        </is>
      </c>
      <c r="Q31" s="11" t="inlineStr">
        <is>
          <t>El Panel emite su fallo definitivo e inapelable. Resuelve si acepta o rechaza las discrepancias presentadas.</t>
        </is>
      </c>
      <c r="R31" s="63" t="inlineStr">
        <is>
          <t>Analizar fallo inmediatamente.</t>
        </is>
      </c>
    </row>
    <row r="32" ht="53.45" customHeight="1" thickBot="1">
      <c r="A32" s="65" t="n"/>
      <c r="B32" s="65" t="inlineStr">
        <is>
          <t>Decreto 37</t>
        </is>
      </c>
      <c r="C32" s="26" t="n">
        <v>2025</v>
      </c>
      <c r="D32" s="26" t="inlineStr">
        <is>
          <t>Planificación de la Transmisión</t>
        </is>
      </c>
      <c r="E32" s="26" t="inlineStr">
        <is>
          <t>Remisión de Informe técnico Definitivo</t>
        </is>
      </c>
      <c r="F32" s="66" t="inlineStr">
        <is>
          <t>ep_tvaldes@colbun.cl</t>
        </is>
      </c>
      <c r="G32" s="26" t="inlineStr">
        <is>
          <t>Comisión</t>
        </is>
      </c>
      <c r="H32" s="26" t="n">
        <v>15</v>
      </c>
      <c r="I32" s="26" t="inlineStr">
        <is>
          <t>Hábiles</t>
        </is>
      </c>
      <c r="J32" s="60" t="n"/>
      <c r="K32" s="27">
        <f>IF(I32="Corridos",H32+K31,WORKDAY(K31,H32,Tabla4[Fecha]))</f>
        <v/>
      </c>
      <c r="L32" s="27">
        <f>IF(I32="Corridos",H32+N31,WORKDAY(N31,H32,Tabla4[Fecha]))</f>
        <v/>
      </c>
      <c r="M32" s="27" t="n"/>
      <c r="N32" s="27">
        <f>IF(ISBLANK(M32),L32,M32)</f>
        <v/>
      </c>
      <c r="O32" s="60">
        <f>N32-TODAY()</f>
        <v/>
      </c>
      <c r="P32" s="11" t="inlineStr">
        <is>
          <t>No</t>
        </is>
      </c>
      <c r="Q32" s="11" t="inlineStr">
        <is>
          <t>La CNE ajusta el plan según lo ordenado por el Panel y envía la versión final consolidada al Ministerio.</t>
        </is>
      </c>
      <c r="R32" s="63" t="inlineStr">
        <is>
          <t>Marca el fin del trabajo de la CNE y el pase al Ministerio.</t>
        </is>
      </c>
    </row>
    <row r="33" ht="66.59999999999999" customHeight="1" thickBot="1">
      <c r="A33" s="65" t="n"/>
      <c r="B33" s="65" t="inlineStr">
        <is>
          <t>Decreto 37</t>
        </is>
      </c>
      <c r="C33" s="26" t="n">
        <v>2025</v>
      </c>
      <c r="D33" s="26" t="inlineStr">
        <is>
          <t>Planificación de la Transmisión</t>
        </is>
      </c>
      <c r="E33" s="26" t="inlineStr">
        <is>
          <t>Decreto exteno  de Informe Técnico Definitivo</t>
        </is>
      </c>
      <c r="F33" s="66" t="inlineStr">
        <is>
          <t>ep_tvaldes@colbun.cl</t>
        </is>
      </c>
      <c r="G33" s="26" t="inlineStr">
        <is>
          <t>Ministerio de Energía</t>
        </is>
      </c>
      <c r="H33" s="26" t="n">
        <v>15</v>
      </c>
      <c r="I33" s="26" t="inlineStr">
        <is>
          <t>Hábiles</t>
        </is>
      </c>
      <c r="J33" s="60" t="n"/>
      <c r="K33" s="27">
        <f>IF(I33="Corridos",H33+K32,WORKDAY(K32,H33,Tabla4[Fecha]))</f>
        <v/>
      </c>
      <c r="L33" s="27">
        <f>IF(I33="Corridos",H33+N32,WORKDAY(N32,H33,Tabla4[Fecha]))</f>
        <v/>
      </c>
      <c r="M33" s="27" t="n"/>
      <c r="N33" s="27">
        <f>IF(ISBLANK(M33),L33,M33)</f>
        <v/>
      </c>
      <c r="O33" s="60">
        <f>N33-TODAY()</f>
        <v/>
      </c>
      <c r="P33" s="11" t="inlineStr">
        <is>
          <t>No</t>
        </is>
      </c>
      <c r="Q33" s="11" t="inlineStr">
        <is>
          <t>El Ministerio publica el Decreto en el Diario Oficial. Nacen legalmente las obras y comienzan a correr los plazos de licitación.</t>
        </is>
      </c>
      <c r="R33" s="63" t="inlineStr">
        <is>
          <t>Descargar Decreto. Revisar cronograma de licitaciones.</t>
        </is>
      </c>
    </row>
  </sheetData>
  <hyperlinks>
    <hyperlink xmlns:r="http://schemas.openxmlformats.org/officeDocument/2006/relationships" ref="F6" r:id="rId1"/>
  </hyperlinks>
  <pageMargins left="0.7" right="0.7" top="0.75" bottom="0.75" header="0.3" footer="0.3"/>
  <pageSetup orientation="portrait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S38"/>
  <sheetViews>
    <sheetView zoomScale="70" zoomScaleNormal="70" workbookViewId="0">
      <pane ySplit="1" topLeftCell="A9" activePane="bottomLeft" state="frozen"/>
      <selection pane="bottomLeft" activeCell="J35" sqref="J35"/>
    </sheetView>
  </sheetViews>
  <sheetFormatPr baseColWidth="8" defaultColWidth="12.7109375" defaultRowHeight="15.75" customHeight="1"/>
  <cols>
    <col width="17.140625" customWidth="1" min="1" max="2"/>
    <col width="13" bestFit="1" customWidth="1" min="3" max="3"/>
    <col width="24.28515625" bestFit="1" customWidth="1" min="4" max="4"/>
    <col width="18.42578125" customWidth="1" min="5" max="6"/>
    <col width="19.28515625" bestFit="1" customWidth="1" min="7" max="7"/>
    <col width="15.28515625" bestFit="1" customWidth="1" min="8" max="8"/>
    <col width="15.7109375" customWidth="1" min="9" max="9"/>
    <col width="17.140625" bestFit="1" customWidth="1" min="10" max="10"/>
    <col width="17.140625" customWidth="1" min="11" max="11"/>
    <col width="19.28515625" customWidth="1" min="12" max="12"/>
    <col width="23" customWidth="1" min="13" max="13"/>
    <col width="16.140625" customWidth="1" min="14" max="14"/>
    <col width="16.7109375" customWidth="1" min="15" max="18"/>
    <col width="14" bestFit="1" customWidth="1" min="19" max="19"/>
    <col width="10.140625" bestFit="1" customWidth="1" min="20" max="20"/>
    <col width="12.85546875" bestFit="1" customWidth="1" min="21" max="21"/>
    <col width="19" bestFit="1" customWidth="1" min="22" max="22"/>
    <col width="17.28515625" bestFit="1" customWidth="1" min="23" max="23"/>
    <col width="14.28515625" bestFit="1" customWidth="1" min="24" max="24"/>
    <col width="17.28515625" bestFit="1" customWidth="1" min="25" max="25"/>
  </cols>
  <sheetData>
    <row r="1" ht="29.45" customHeight="1" thickBot="1">
      <c r="A1" s="50" t="inlineStr">
        <is>
          <t>ID</t>
        </is>
      </c>
      <c r="B1" s="5" t="inlineStr">
        <is>
          <t>Norma</t>
        </is>
      </c>
      <c r="C1" s="5" t="inlineStr">
        <is>
          <t>Periodo</t>
        </is>
      </c>
      <c r="D1" s="5" t="inlineStr">
        <is>
          <t>Proceso</t>
        </is>
      </c>
      <c r="E1" s="5" t="inlineStr">
        <is>
          <t>Hito / Etapa</t>
        </is>
      </c>
      <c r="F1" s="5" t="inlineStr">
        <is>
          <t>Responsable</t>
        </is>
      </c>
      <c r="G1" s="5" t="inlineStr">
        <is>
          <t>Agente</t>
        </is>
      </c>
      <c r="H1" s="5" t="inlineStr">
        <is>
          <t>Plazo</t>
        </is>
      </c>
      <c r="I1" s="5" t="inlineStr">
        <is>
          <t>Tipo_Dia</t>
        </is>
      </c>
      <c r="J1" s="5" t="inlineStr">
        <is>
          <t>ID_Gatillador</t>
        </is>
      </c>
      <c r="K1" s="5" t="inlineStr">
        <is>
          <t>Fecha_teórica</t>
        </is>
      </c>
      <c r="L1" s="5" t="inlineStr">
        <is>
          <t>Fecha_Proyectada</t>
        </is>
      </c>
      <c r="M1" s="5" t="inlineStr">
        <is>
          <t>Fecha_Real_Manual</t>
        </is>
      </c>
      <c r="N1" s="39" t="inlineStr">
        <is>
          <t>Fecha_Vigente</t>
        </is>
      </c>
      <c r="O1" s="44" t="inlineStr">
        <is>
          <t>Dias_Restantes</t>
        </is>
      </c>
      <c r="P1" s="38" t="inlineStr">
        <is>
          <t>Respuesta</t>
        </is>
      </c>
      <c r="Q1" s="38" t="inlineStr">
        <is>
          <t>Descripción</t>
        </is>
      </c>
      <c r="R1" s="38" t="inlineStr">
        <is>
          <t>Descripción_respuesta</t>
        </is>
      </c>
      <c r="S1" s="38" t="inlineStr">
        <is>
          <t>Link</t>
        </is>
      </c>
    </row>
    <row r="2" ht="54" customHeight="1" thickBot="1">
      <c r="A2" s="50" t="n">
        <v>36</v>
      </c>
      <c r="B2" s="5" t="inlineStr">
        <is>
          <t>Decreto 10</t>
        </is>
      </c>
      <c r="C2" s="14" t="inlineStr">
        <is>
          <t>2024-2027</t>
        </is>
      </c>
      <c r="D2" s="14" t="inlineStr">
        <is>
          <t>Valorización</t>
        </is>
      </c>
      <c r="E2" s="14" t="inlineStr">
        <is>
          <t>Inicio de Estudio Zonal</t>
        </is>
      </c>
      <c r="F2" s="70" t="inlineStr">
        <is>
          <t>ep_tvaldes@colbun.cl</t>
        </is>
      </c>
      <c r="G2" s="14" t="inlineStr">
        <is>
          <t>Consultor</t>
        </is>
      </c>
      <c r="H2" s="14" t="n">
        <v>20</v>
      </c>
      <c r="I2" s="14" t="inlineStr">
        <is>
          <t>Días</t>
        </is>
      </c>
      <c r="J2" s="14" t="n"/>
      <c r="K2" s="15" t="n">
        <v>44868</v>
      </c>
      <c r="L2" s="15" t="n">
        <v>44868</v>
      </c>
      <c r="M2" s="15" t="n">
        <v>45645</v>
      </c>
      <c r="N2" s="40">
        <f>IF(ISBLANK(M2),L2,M2)</f>
        <v/>
      </c>
      <c r="O2" s="48">
        <f>N2-TODAY()</f>
        <v/>
      </c>
      <c r="P2" s="62" t="inlineStr">
        <is>
          <t>No</t>
        </is>
      </c>
      <c r="Q2" s="62" t="inlineStr">
        <is>
          <t>Inicio administrativo del contrato con la consultora.</t>
        </is>
      </c>
      <c r="R2" s="62" t="inlineStr">
        <is>
          <t>Descargar y distribuir el documento internamente para su análisis técnico/económico inmediato, preparándose para la siguiente etapa de observaciones.</t>
        </is>
      </c>
      <c r="S2" s="62" t="n"/>
    </row>
    <row r="3" ht="54" customHeight="1" thickBot="1">
      <c r="A3" s="51" t="n">
        <v>37</v>
      </c>
      <c r="B3" s="14" t="inlineStr">
        <is>
          <t>Decreto 10</t>
        </is>
      </c>
      <c r="C3" s="14" t="inlineStr">
        <is>
          <t>2024-2027</t>
        </is>
      </c>
      <c r="D3" s="14" t="inlineStr">
        <is>
          <t>Valorización</t>
        </is>
      </c>
      <c r="E3" s="14" t="inlineStr">
        <is>
          <t>Observaciones Informe Avance 1 V3 (Zonal)</t>
        </is>
      </c>
      <c r="F3" s="14" t="inlineStr">
        <is>
          <t>ep_tvaldes@colbun.cl</t>
        </is>
      </c>
      <c r="G3" s="14" t="inlineStr">
        <is>
          <t>Participantes e interesados</t>
        </is>
      </c>
      <c r="H3" s="14" t="inlineStr">
        <is>
          <t>-</t>
        </is>
      </c>
      <c r="I3" s="14" t="inlineStr">
        <is>
          <t>Hábiles</t>
        </is>
      </c>
      <c r="J3" s="19" t="inlineStr">
        <is>
          <t>-</t>
        </is>
      </c>
      <c r="K3" s="15" t="n">
        <v>44979</v>
      </c>
      <c r="L3" s="14" t="n"/>
      <c r="M3" s="15" t="n">
        <v>45793</v>
      </c>
      <c r="N3" s="40">
        <f>IF(ISBLANK(M3),L3,M3)</f>
        <v/>
      </c>
      <c r="O3" s="48">
        <f>N3-TODAY()</f>
        <v/>
      </c>
      <c r="P3" s="11" t="inlineStr">
        <is>
          <t>Si</t>
        </is>
      </c>
      <c r="Q3" s="11" t="inlineStr">
        <is>
          <t>Vencimiento de Plazo para ingresar observaciones formales ante la CNE impugnando el Informe de avance.</t>
        </is>
      </c>
      <c r="R3" s="11" t="inlineStr">
        <is>
          <t>Subir observaciones a la plataforma CNE.</t>
        </is>
      </c>
      <c r="S3" s="11" t="n"/>
    </row>
    <row r="4" ht="54" customHeight="1" thickBot="1">
      <c r="A4" s="52" t="n">
        <v>38</v>
      </c>
      <c r="B4" s="33" t="inlineStr">
        <is>
          <t>Decreto 10</t>
        </is>
      </c>
      <c r="C4" s="33" t="inlineStr">
        <is>
          <t>2024-2027</t>
        </is>
      </c>
      <c r="D4" s="33" t="inlineStr">
        <is>
          <t>Valorización</t>
        </is>
      </c>
      <c r="E4" s="33" t="inlineStr">
        <is>
          <t>Informe Avance 2 (Zonal)</t>
        </is>
      </c>
      <c r="F4" s="61" t="inlineStr">
        <is>
          <t>ep_tvaldes@colbun.cl</t>
        </is>
      </c>
      <c r="G4" s="33" t="inlineStr">
        <is>
          <t>Consultor</t>
        </is>
      </c>
      <c r="H4" s="33" t="n">
        <v>407</v>
      </c>
      <c r="I4" s="33" t="inlineStr">
        <is>
          <t>Corridos</t>
        </is>
      </c>
      <c r="J4" s="35" t="n">
        <v>36</v>
      </c>
      <c r="K4" s="15" t="n">
        <v>44998</v>
      </c>
      <c r="L4" s="34">
        <f>IF(I4="Corridos",H4+N2,WORKDAY(N2,H4,Tabla4[Fecha]))</f>
        <v/>
      </c>
      <c r="M4" s="34" t="n">
        <v>46052</v>
      </c>
      <c r="N4" s="41">
        <f>IF(ISBLANK(M4),L4,M4)</f>
        <v/>
      </c>
      <c r="O4" s="48">
        <f>N4-TODAY()</f>
        <v/>
      </c>
      <c r="P4" s="11" t="inlineStr">
        <is>
          <t>No</t>
        </is>
      </c>
      <c r="Q4" s="11" t="inlineStr">
        <is>
          <t>Entrega del segundo informe de resultados por parte del Consultor. Contiene la valoración actualizada de las instalaciones zonales tras la revisión del Informe 1.</t>
        </is>
      </c>
      <c r="R4" s="11" t="inlineStr">
        <is>
          <t>Descargar el informe y realizar auditoría interna inmediata de los valores asignados a sus instalaciones (V.I., A.V.I., COMA) para preparar las observaciones del siguiente hito.</t>
        </is>
      </c>
      <c r="S4" s="11" t="n"/>
    </row>
    <row r="5" ht="54" customHeight="1" thickBot="1">
      <c r="A5" s="51" t="n">
        <v>39</v>
      </c>
      <c r="B5" s="14" t="inlineStr">
        <is>
          <t>Decreto 10</t>
        </is>
      </c>
      <c r="C5" s="14" t="inlineStr">
        <is>
          <t>2024-2027</t>
        </is>
      </c>
      <c r="D5" s="14" t="inlineStr">
        <is>
          <t>Valorización</t>
        </is>
      </c>
      <c r="E5" s="14" t="inlineStr">
        <is>
          <t>Observaciones Informe Avance 2 (Zonal)</t>
        </is>
      </c>
      <c r="F5" s="14" t="inlineStr">
        <is>
          <t>ep_tvaldes@colbun.cl</t>
        </is>
      </c>
      <c r="G5" s="14" t="inlineStr">
        <is>
          <t>Participantes e interesados</t>
        </is>
      </c>
      <c r="H5" s="14" t="n">
        <v>15</v>
      </c>
      <c r="I5" s="14" t="inlineStr">
        <is>
          <t>Hábiles</t>
        </is>
      </c>
      <c r="J5" s="20" t="n">
        <v>38</v>
      </c>
      <c r="K5" s="15" t="n">
        <v>45019</v>
      </c>
      <c r="L5" s="15">
        <f>IF(I5="Corridos",H5+N4,WORKDAY(N4,H5,Tabla4[Fecha]))</f>
        <v/>
      </c>
      <c r="M5" s="15" t="n"/>
      <c r="N5" s="40">
        <f>IF(ISBLANK(M5),L5,M5)</f>
        <v/>
      </c>
      <c r="O5" s="47">
        <f>N5-TODAY()</f>
        <v/>
      </c>
      <c r="P5" s="11" t="inlineStr">
        <is>
          <t>Si</t>
        </is>
      </c>
      <c r="Q5" s="11" t="inlineStr">
        <is>
          <t>Plazo normativo para que los Participantes presenten observaciones formales, correcciones o reparos técnicos al segundo informe entregado por el Consultor</t>
        </is>
      </c>
      <c r="R5" s="11" t="inlineStr">
        <is>
          <t>Consolidar los hallazgos de la revisión interna y remitir formalmente el documento de observaciones al Consultor/CNE.</t>
        </is>
      </c>
      <c r="S5" s="11" t="n"/>
    </row>
    <row r="6" ht="51.6" customHeight="1" thickBot="1">
      <c r="A6" s="51" t="n">
        <v>40</v>
      </c>
      <c r="B6" s="14" t="inlineStr">
        <is>
          <t>Decreto 10</t>
        </is>
      </c>
      <c r="C6" s="14" t="inlineStr">
        <is>
          <t>2024-2027</t>
        </is>
      </c>
      <c r="D6" s="14" t="inlineStr">
        <is>
          <t>Valorización</t>
        </is>
      </c>
      <c r="E6" s="14" t="inlineStr">
        <is>
          <t>Entrega Informe Avance 1 V2 (Zonal)</t>
        </is>
      </c>
      <c r="F6" s="59" t="inlineStr">
        <is>
          <t>ep_tvaldes@colbun.cl</t>
        </is>
      </c>
      <c r="G6" s="14" t="inlineStr">
        <is>
          <t>Consultor</t>
        </is>
      </c>
      <c r="H6" s="14" t="n"/>
      <c r="I6" s="14" t="inlineStr">
        <is>
          <t>Corridos</t>
        </is>
      </c>
      <c r="J6" s="20" t="n"/>
      <c r="K6" s="15" t="n">
        <v>45048</v>
      </c>
      <c r="L6" s="15">
        <f>IF(I6="Corridos",H6+N5,WORKDAY(N5,H6,Tabla4[Fecha]))</f>
        <v/>
      </c>
      <c r="M6" s="14" t="n"/>
      <c r="N6" s="40">
        <f>IF(ISBLANK(M6),L6,M6)</f>
        <v/>
      </c>
      <c r="O6" s="49" t="n"/>
      <c r="P6" s="11" t="n"/>
      <c r="Q6" s="11" t="n"/>
      <c r="R6" s="11" t="n"/>
      <c r="S6" s="11" t="n"/>
    </row>
    <row r="7" ht="40.15" customHeight="1" thickBot="1">
      <c r="A7" s="51" t="n">
        <v>41</v>
      </c>
      <c r="B7" s="14" t="inlineStr">
        <is>
          <t>Decreto 10</t>
        </is>
      </c>
      <c r="C7" s="14" t="inlineStr">
        <is>
          <t>2024-2027</t>
        </is>
      </c>
      <c r="D7" s="14" t="inlineStr">
        <is>
          <t>Valorización</t>
        </is>
      </c>
      <c r="E7" s="14" t="inlineStr">
        <is>
          <t>Observaciones Informe Avance 1 V2 (Zonal)</t>
        </is>
      </c>
      <c r="F7" s="14" t="inlineStr">
        <is>
          <t>ep_tvaldes@colbun.cl</t>
        </is>
      </c>
      <c r="G7" s="14" t="inlineStr">
        <is>
          <t>Participantes e interesados</t>
        </is>
      </c>
      <c r="H7" s="14" t="n"/>
      <c r="I7" s="14" t="inlineStr">
        <is>
          <t>Hábiles</t>
        </is>
      </c>
      <c r="J7" s="20" t="n"/>
      <c r="K7" s="15" t="n">
        <v>45069</v>
      </c>
      <c r="L7" s="15">
        <f>IF(I7="Corridos",H7+N6,WORKDAY(N6,H7,Tabla4[Fecha]))</f>
        <v/>
      </c>
      <c r="M7" s="14" t="n"/>
      <c r="N7" s="40">
        <f>IF(ISBLANK(M7),L7,M7)</f>
        <v/>
      </c>
      <c r="O7" s="45" t="n"/>
      <c r="P7" s="11" t="n"/>
      <c r="Q7" s="11" t="n"/>
      <c r="R7" s="11" t="n"/>
      <c r="S7" s="11" t="n"/>
    </row>
    <row r="8" ht="27" customHeight="1" thickBot="1">
      <c r="A8" s="51" t="n">
        <v>42</v>
      </c>
      <c r="B8" s="14" t="inlineStr">
        <is>
          <t>Decreto 10</t>
        </is>
      </c>
      <c r="C8" s="14" t="inlineStr">
        <is>
          <t>2024-2027</t>
        </is>
      </c>
      <c r="D8" s="14" t="inlineStr">
        <is>
          <t>Valorización</t>
        </is>
      </c>
      <c r="E8" s="14" t="inlineStr">
        <is>
          <t xml:space="preserve"> Informe Avance 1 V3 (Zonal)</t>
        </is>
      </c>
      <c r="F8" s="14" t="inlineStr">
        <is>
          <t>ep_tvaldes@colbun.cl</t>
        </is>
      </c>
      <c r="G8" s="14" t="inlineStr">
        <is>
          <t>Consultor</t>
        </is>
      </c>
      <c r="H8" s="14" t="n"/>
      <c r="I8" s="14" t="inlineStr">
        <is>
          <t>Corridos</t>
        </is>
      </c>
      <c r="J8" s="20" t="n"/>
      <c r="K8" s="15" t="n">
        <v>45088</v>
      </c>
      <c r="L8" s="15">
        <f>IF(I8="Corridos",H8+N7,WORKDAY(N7,H8,Tabla4[Fecha]))</f>
        <v/>
      </c>
      <c r="M8" s="14" t="n"/>
      <c r="N8" s="40">
        <f>IF(ISBLANK(M8),L8,M8)</f>
        <v/>
      </c>
      <c r="O8" s="20" t="n"/>
      <c r="P8" s="11" t="n"/>
      <c r="Q8" s="11" t="n"/>
      <c r="R8" s="11" t="n"/>
      <c r="S8" s="11" t="n"/>
    </row>
    <row r="9" ht="40.15" customHeight="1" thickBot="1">
      <c r="A9" s="51" t="n">
        <v>43</v>
      </c>
      <c r="B9" s="14" t="inlineStr">
        <is>
          <t>Decreto 10</t>
        </is>
      </c>
      <c r="C9" s="14" t="inlineStr">
        <is>
          <t>2024-2027</t>
        </is>
      </c>
      <c r="D9" s="14" t="inlineStr">
        <is>
          <t>Valorización</t>
        </is>
      </c>
      <c r="E9" s="14" t="inlineStr">
        <is>
          <t>Observaciones Informe Avance 1 V3 (Zonal)</t>
        </is>
      </c>
      <c r="F9" s="14" t="inlineStr">
        <is>
          <t>ep_tvaldes@colbun.cl</t>
        </is>
      </c>
      <c r="G9" s="14" t="inlineStr">
        <is>
          <t>Participantes e interesados</t>
        </is>
      </c>
      <c r="H9" s="14" t="n"/>
      <c r="I9" s="14" t="inlineStr">
        <is>
          <t>Habiles</t>
        </is>
      </c>
      <c r="J9" s="20" t="n"/>
      <c r="K9" s="15" t="n">
        <v>45104</v>
      </c>
      <c r="L9" s="15">
        <f>IF(I9="Corridos",H9+N8,WORKDAY(N8,H9,Tabla4[Fecha]))</f>
        <v/>
      </c>
      <c r="M9" s="14" t="n"/>
      <c r="N9" s="40">
        <f>IF(ISBLANK(M9),L9,M9)</f>
        <v/>
      </c>
      <c r="O9" s="20" t="n"/>
      <c r="P9" s="11" t="n"/>
      <c r="Q9" s="11" t="n"/>
      <c r="R9" s="11" t="n"/>
      <c r="S9" s="11" t="n"/>
    </row>
    <row r="10" ht="132.6" customHeight="1" thickBot="1">
      <c r="A10" s="71" t="n">
        <v>44</v>
      </c>
      <c r="B10" s="14" t="inlineStr">
        <is>
          <t>Decreto 10</t>
        </is>
      </c>
      <c r="C10" s="14" t="inlineStr">
        <is>
          <t>2024-2027</t>
        </is>
      </c>
      <c r="D10" s="14" t="inlineStr">
        <is>
          <t>Valorización</t>
        </is>
      </c>
      <c r="E10" s="14" t="inlineStr">
        <is>
          <t>Informe Preliminar (Zonal)</t>
        </is>
      </c>
      <c r="F10" s="14" t="inlineStr">
        <is>
          <t>ep_tvaldes@colbun.cl</t>
        </is>
      </c>
      <c r="G10" s="14" t="inlineStr">
        <is>
          <t>Consultor</t>
        </is>
      </c>
      <c r="H10" s="14" t="n">
        <v>459</v>
      </c>
      <c r="I10" s="14" t="inlineStr">
        <is>
          <t>Corridos</t>
        </is>
      </c>
      <c r="J10" s="20" t="n">
        <v>36</v>
      </c>
      <c r="K10" s="15" t="n">
        <v>45048</v>
      </c>
      <c r="L10" s="34">
        <f>IF(I10="Corridos",H10+M2,WORKDAY(M2,H10,Tabla4[Fecha]))</f>
        <v/>
      </c>
      <c r="M10" s="34" t="n">
        <v>46104</v>
      </c>
      <c r="N10" s="40">
        <f>IF(ISBLANK(M10),L10,M10)</f>
        <v/>
      </c>
      <c r="O10" s="20">
        <f>N10-TODAY()</f>
        <v/>
      </c>
      <c r="P10" s="11" t="inlineStr">
        <is>
          <t>No</t>
        </is>
      </c>
      <c r="Q10" s="11" t="inlineStr">
        <is>
          <t>Entrega por parte del Consultor del informe consolidado del estudio. Presenta la propuesta completa de valorización</t>
        </is>
      </c>
      <c r="R10" s="11" t="inlineStr">
        <is>
          <t>Descargar el informe y realizar la revisión más exhaustiva del proceso. Es la base para preparar las observaciones críticas del siguiente hito.</t>
        </is>
      </c>
      <c r="S10" s="11" t="n"/>
    </row>
    <row r="11" ht="93" customHeight="1" thickBot="1">
      <c r="A11" s="51" t="n">
        <v>45</v>
      </c>
      <c r="B11" s="14" t="inlineStr">
        <is>
          <t>Decreto 10</t>
        </is>
      </c>
      <c r="C11" s="14" t="inlineStr">
        <is>
          <t>2024-2027</t>
        </is>
      </c>
      <c r="D11" s="14" t="inlineStr">
        <is>
          <t>Valorización</t>
        </is>
      </c>
      <c r="E11" s="14" t="inlineStr">
        <is>
          <t>Observaciones Informe Preliminar (Zonal)</t>
        </is>
      </c>
      <c r="F11" s="14" t="inlineStr">
        <is>
          <t>ep_tvaldes@colbun.cl</t>
        </is>
      </c>
      <c r="G11" s="14" t="inlineStr">
        <is>
          <t>Participantes e interesados</t>
        </is>
      </c>
      <c r="H11" s="14" t="n">
        <v>15</v>
      </c>
      <c r="I11" s="14" t="inlineStr">
        <is>
          <t>Hábiles</t>
        </is>
      </c>
      <c r="J11" s="20" t="n">
        <v>44</v>
      </c>
      <c r="K11" s="15" t="n">
        <v>45125</v>
      </c>
      <c r="L11" s="15">
        <f>IF(I11="Corridos",H11+N10,WORKDAY(N10,H11,Tabla4[Fecha]))</f>
        <v/>
      </c>
      <c r="M11" s="15" t="n"/>
      <c r="N11" s="40">
        <f>IF(ISBLANK(M11),L11,M11)</f>
        <v/>
      </c>
      <c r="O11" s="20">
        <f>N11-TODAY()</f>
        <v/>
      </c>
      <c r="P11" s="11" t="inlineStr">
        <is>
          <t>Si</t>
        </is>
      </c>
      <c r="Q11" s="11" t="inlineStr">
        <is>
          <t>Ventana legal para presentar observaciones formales ante la CNE respecto al Informe Técnico Preliminar.</t>
        </is>
      </c>
      <c r="R11" s="11" t="inlineStr">
        <is>
          <t>Enviar documento formal a la CNE con los reparos técnicos/económicos.</t>
        </is>
      </c>
      <c r="S11" s="11" t="n"/>
    </row>
    <row r="12" ht="159" customHeight="1" thickBot="1">
      <c r="A12" s="51" t="n">
        <v>46</v>
      </c>
      <c r="B12" s="14" t="inlineStr">
        <is>
          <t>Decreto 10</t>
        </is>
      </c>
      <c r="C12" s="14" t="inlineStr">
        <is>
          <t>2024-2027</t>
        </is>
      </c>
      <c r="D12" s="14" t="inlineStr">
        <is>
          <t>Valorización</t>
        </is>
      </c>
      <c r="E12" s="14" t="inlineStr">
        <is>
          <t>Informe Final (Zonal)</t>
        </is>
      </c>
      <c r="F12" s="14" t="inlineStr">
        <is>
          <t>ep_tvaldes@colbun.cl</t>
        </is>
      </c>
      <c r="G12" s="14" t="inlineStr">
        <is>
          <t>Consultor</t>
        </is>
      </c>
      <c r="H12" s="14" t="n">
        <v>497</v>
      </c>
      <c r="I12" s="14" t="inlineStr">
        <is>
          <t>Corridos</t>
        </is>
      </c>
      <c r="J12" s="20" t="n">
        <v>36</v>
      </c>
      <c r="K12" s="15" t="n">
        <v>45128</v>
      </c>
      <c r="L12" s="34">
        <f>IF(I12="Corridos",H12+M2,WORKDAY(M2,H12,Tabla4[Fecha]))</f>
        <v/>
      </c>
      <c r="M12" s="34" t="n">
        <v>46142</v>
      </c>
      <c r="N12" s="40">
        <f>IF(ISBLANK(M12),L12,M12)</f>
        <v/>
      </c>
      <c r="O12" s="20">
        <f>N12-TODAY()</f>
        <v/>
      </c>
      <c r="P12" s="11" t="inlineStr">
        <is>
          <t>No</t>
        </is>
      </c>
      <c r="Q12" s="11" t="inlineStr">
        <is>
          <t>Emisión por parte de la CNE del Informe Técnico Final, donde se aceptan o rechazan fundadamente las observaciones realizadas al Informe Preliminar.</t>
        </is>
      </c>
      <c r="R12" s="11" t="inlineStr">
        <is>
          <t>Analizar el Informe Final para verificar si las observaciones presentadas anteriormente fueron acogidas.</t>
        </is>
      </c>
      <c r="S12" s="11" t="n"/>
    </row>
    <row r="13" ht="145.9" customHeight="1" thickBot="1">
      <c r="A13" s="51" t="n">
        <v>47</v>
      </c>
      <c r="B13" s="14" t="inlineStr">
        <is>
          <t>Decreto 10</t>
        </is>
      </c>
      <c r="C13" s="14" t="inlineStr">
        <is>
          <t>2024-2027</t>
        </is>
      </c>
      <c r="D13" s="14" t="inlineStr">
        <is>
          <t>Valorización</t>
        </is>
      </c>
      <c r="E13" s="14" t="inlineStr">
        <is>
          <t>Observaciones Informe Final (Zonal)</t>
        </is>
      </c>
      <c r="F13" s="14" t="inlineStr">
        <is>
          <t>ep_tvaldes@colbun.cl</t>
        </is>
      </c>
      <c r="G13" s="14" t="inlineStr">
        <is>
          <t>Participantes e interesados</t>
        </is>
      </c>
      <c r="H13" s="14" t="n">
        <v>10</v>
      </c>
      <c r="I13" s="14" t="inlineStr">
        <is>
          <t>Hábiles</t>
        </is>
      </c>
      <c r="J13" s="20" t="n">
        <v>46</v>
      </c>
      <c r="K13" s="15" t="n">
        <v>45139</v>
      </c>
      <c r="L13" s="15">
        <f>IF(I13="Corridos",H13+N12,WORKDAY(N12,H13,Tabla4[Fecha]))</f>
        <v/>
      </c>
      <c r="M13" s="15" t="n"/>
      <c r="N13" s="40">
        <f>IF(ISBLANK(M13),L13,M13)</f>
        <v/>
      </c>
      <c r="O13" s="20">
        <f>N13-TODAY()</f>
        <v/>
      </c>
      <c r="P13" s="11" t="inlineStr">
        <is>
          <t>Si</t>
        </is>
      </c>
      <c r="Q13" s="11" t="inlineStr">
        <is>
          <t>Plazo límite para presentar Discrepancias ante el Panel de Expertos si se mantienen desacuerdos con el Informe Final de la CNE.</t>
        </is>
      </c>
      <c r="R13" s="11" t="inlineStr">
        <is>
          <t>Si persisten diferencias económicas relevantes tras el Informe Final, redactar y presentar el escrito de discrepancia ante el Panel de Expertos</t>
        </is>
      </c>
      <c r="S13" s="11" t="n"/>
    </row>
    <row r="14" ht="52.9" customHeight="1" thickBot="1">
      <c r="A14" s="51" t="n">
        <v>48</v>
      </c>
      <c r="B14" s="14" t="inlineStr">
        <is>
          <t>Decreto 10</t>
        </is>
      </c>
      <c r="C14" s="14" t="inlineStr">
        <is>
          <t>2024-2027</t>
        </is>
      </c>
      <c r="D14" s="14" t="inlineStr">
        <is>
          <t>Valorización</t>
        </is>
      </c>
      <c r="E14" s="14" t="inlineStr">
        <is>
          <t>Informe Definitivo (Zonal)</t>
        </is>
      </c>
      <c r="F14" s="14" t="inlineStr">
        <is>
          <t>ep_tvaldes@colbun.cl</t>
        </is>
      </c>
      <c r="G14" s="14" t="inlineStr">
        <is>
          <t>Consultor</t>
        </is>
      </c>
      <c r="H14" s="14" t="n">
        <v>10</v>
      </c>
      <c r="I14" s="14" t="inlineStr">
        <is>
          <t>Hábiles</t>
        </is>
      </c>
      <c r="J14" s="20" t="n">
        <v>47</v>
      </c>
      <c r="K14" s="15" t="n"/>
      <c r="L14" s="15">
        <f>IF(I14="Corridos",H14+N13,WORKDAY(N13,H14,Tabla4[Fecha]))</f>
        <v/>
      </c>
      <c r="M14" s="20" t="n"/>
      <c r="N14" s="40">
        <f>IF(ISBLANK(M14),L14,M14)</f>
        <v/>
      </c>
      <c r="O14" s="20">
        <f>N14-TODAY()</f>
        <v/>
      </c>
      <c r="P14" s="11" t="inlineStr">
        <is>
          <t>No</t>
        </is>
      </c>
      <c r="Q14" s="11" t="inlineStr">
        <is>
          <t>Emisión por la CNE del Informe Técnico Definitivo. Consolida los valores finales tras incorporar, si las hubo, las correcciones dictaminadas por el Panel de Expertos.</t>
        </is>
      </c>
      <c r="R14" s="11" t="inlineStr">
        <is>
          <t>Auditar que el informe haya incorporado correctamente los dictámenes ganados en el Panel de Expertos.</t>
        </is>
      </c>
      <c r="S14" s="11" t="n"/>
    </row>
    <row r="15" ht="53.45" customHeight="1" thickBot="1">
      <c r="A15" s="51" t="n">
        <v>49</v>
      </c>
      <c r="B15" s="14" t="inlineStr">
        <is>
          <t>Decreto 10</t>
        </is>
      </c>
      <c r="C15" s="14" t="inlineStr">
        <is>
          <t>2024-2027</t>
        </is>
      </c>
      <c r="D15" s="14" t="inlineStr">
        <is>
          <t>Valorización</t>
        </is>
      </c>
      <c r="E15" s="14" t="inlineStr">
        <is>
          <t>Convocatoria Audiencia Pública</t>
        </is>
      </c>
      <c r="F15" s="14" t="inlineStr">
        <is>
          <t>ep_tvaldes@colbun.cl</t>
        </is>
      </c>
      <c r="G15" s="14" t="inlineStr">
        <is>
          <t>CNE</t>
        </is>
      </c>
      <c r="H15" s="14" t="n">
        <v>5</v>
      </c>
      <c r="I15" s="14" t="inlineStr">
        <is>
          <t>Hábiles</t>
        </is>
      </c>
      <c r="J15" s="20" t="n">
        <v>48</v>
      </c>
      <c r="K15" s="15" t="n"/>
      <c r="L15" s="15">
        <f>IF(I15="Corridos",H15+N14,WORKDAY(N14,H15,Tabla4[Fecha]))</f>
        <v/>
      </c>
      <c r="M15" s="15" t="n"/>
      <c r="N15" s="40">
        <f>IF(ISBLANK(M15),L15,M15)</f>
        <v/>
      </c>
      <c r="O15" s="20">
        <f>N15-TODAY()</f>
        <v/>
      </c>
      <c r="P15" s="11" t="inlineStr">
        <is>
          <t>Si</t>
        </is>
      </c>
      <c r="Q15" s="11" t="inlineStr">
        <is>
          <t>La CNE cita oficialmente a las partes. Se fija fecha y hora.</t>
        </is>
      </c>
      <c r="R15" s="63" t="inlineStr">
        <is>
          <t>Confirmar recepción de citación</t>
        </is>
      </c>
      <c r="S15" s="11" t="n"/>
    </row>
    <row r="16" ht="106.15" customHeight="1" thickBot="1">
      <c r="A16" s="51" t="n">
        <v>50</v>
      </c>
      <c r="B16" s="14" t="inlineStr">
        <is>
          <t>Decreto 10</t>
        </is>
      </c>
      <c r="C16" s="14" t="inlineStr">
        <is>
          <t>2024-2027</t>
        </is>
      </c>
      <c r="D16" s="14" t="inlineStr">
        <is>
          <t>Valorización</t>
        </is>
      </c>
      <c r="E16" s="14" t="inlineStr">
        <is>
          <t>Presentación Nomina de Asitentes</t>
        </is>
      </c>
      <c r="F16" s="14" t="inlineStr">
        <is>
          <t>ep_tvaldes@colbun.cl</t>
        </is>
      </c>
      <c r="G16" s="14" t="inlineStr">
        <is>
          <t>Participantes e interesados</t>
        </is>
      </c>
      <c r="H16" s="14" t="n">
        <v>3</v>
      </c>
      <c r="I16" s="14" t="inlineStr">
        <is>
          <t>Hábiles</t>
        </is>
      </c>
      <c r="J16" s="20" t="n">
        <v>49</v>
      </c>
      <c r="K16" s="15" t="n"/>
      <c r="L16" s="15">
        <f>IF(I16="Corridos",H16+N15,WORKDAY(N15,H16,Tabla4[Fecha]))</f>
        <v/>
      </c>
      <c r="M16" s="15" t="n"/>
      <c r="N16" s="40">
        <f>IF(ISBLANK(M16),L16,M16)</f>
        <v/>
      </c>
      <c r="O16" s="20">
        <f>N16-TODAY()</f>
        <v/>
      </c>
      <c r="P16" s="11" t="inlineStr">
        <is>
          <t>Si</t>
        </is>
      </c>
      <c r="Q16" s="11" t="inlineStr">
        <is>
          <t>Plazo administrativo previo a la audiencia para informar a la CNE los nombres y RUT de quienes asistirán.</t>
        </is>
      </c>
      <c r="R16" s="63" t="inlineStr">
        <is>
          <t>Enviar correo al secretario de la CNE con la lista.</t>
        </is>
      </c>
      <c r="S16" s="11" t="n"/>
    </row>
    <row r="17" ht="27.6" customHeight="1" thickBot="1">
      <c r="A17" s="51" t="n">
        <v>51</v>
      </c>
      <c r="B17" s="14" t="inlineStr">
        <is>
          <t>Decreto 10</t>
        </is>
      </c>
      <c r="C17" s="14" t="inlineStr">
        <is>
          <t>2024-2027</t>
        </is>
      </c>
      <c r="D17" s="14" t="inlineStr">
        <is>
          <t>Valorización</t>
        </is>
      </c>
      <c r="E17" s="14" t="inlineStr">
        <is>
          <t>Audiencia Pública</t>
        </is>
      </c>
      <c r="F17" s="14" t="inlineStr">
        <is>
          <t>ep_tvaldes@colbun.cl</t>
        </is>
      </c>
      <c r="G17" s="14" t="inlineStr">
        <is>
          <t>Todos</t>
        </is>
      </c>
      <c r="H17" s="14" t="n">
        <v>10</v>
      </c>
      <c r="I17" s="14" t="inlineStr">
        <is>
          <t>Hábiles</t>
        </is>
      </c>
      <c r="J17" s="20" t="n">
        <v>50</v>
      </c>
      <c r="K17" s="15" t="n"/>
      <c r="L17" s="15">
        <f>IF(I17="Corridos",H17+N15,WORKDAY(N15,H17,Tabla4[Fecha]))</f>
        <v/>
      </c>
      <c r="M17" s="15" t="n"/>
      <c r="N17" s="40">
        <f>IF(ISBLANK(M17),L17,M17)</f>
        <v/>
      </c>
      <c r="O17" s="20">
        <f>N17-TODAY()</f>
        <v/>
      </c>
      <c r="P17" s="11" t="inlineStr">
        <is>
          <t>Si</t>
        </is>
      </c>
      <c r="Q17" s="11" t="inlineStr">
        <is>
          <t>Sesión oral ante la CNE e Interasados.</t>
        </is>
      </c>
      <c r="R17" s="63" t="inlineStr">
        <is>
          <t>Consultores deben presentarse y exponer.</t>
        </is>
      </c>
      <c r="S17" s="11" t="n"/>
    </row>
    <row r="18" ht="45.6" customHeight="1" thickBot="1">
      <c r="A18" s="53" t="n">
        <v>65</v>
      </c>
      <c r="B18" s="21" t="inlineStr">
        <is>
          <t>Decreto 10</t>
        </is>
      </c>
      <c r="C18" s="21" t="inlineStr">
        <is>
          <t>2024-2027</t>
        </is>
      </c>
      <c r="D18" s="21" t="inlineStr">
        <is>
          <t>Valorización</t>
        </is>
      </c>
      <c r="E18" s="21" t="inlineStr">
        <is>
          <t>Inicio de Estudio Nacional</t>
        </is>
      </c>
      <c r="F18" s="21" t="inlineStr">
        <is>
          <t>ep_tvaldes@colbun.cl</t>
        </is>
      </c>
      <c r="G18" s="21" t="inlineStr">
        <is>
          <t>Consultor</t>
        </is>
      </c>
      <c r="H18" s="21" t="n">
        <v>20</v>
      </c>
      <c r="I18" s="21" t="inlineStr">
        <is>
          <t>Hábiles</t>
        </is>
      </c>
      <c r="J18" s="21" t="n"/>
      <c r="K18" s="15" t="n"/>
      <c r="L18" s="23" t="n">
        <v>44708</v>
      </c>
      <c r="M18" s="23" t="n">
        <v>45728</v>
      </c>
      <c r="N18" s="23">
        <f>IF(ISBLANK(M18),L18,M18)</f>
        <v/>
      </c>
      <c r="O18" s="36" t="n"/>
      <c r="P18" s="62" t="inlineStr">
        <is>
          <t>No</t>
        </is>
      </c>
      <c r="Q18" s="62" t="inlineStr">
        <is>
          <t>Inicio administrativo del contrato con la consultora.</t>
        </is>
      </c>
      <c r="R18" s="62" t="inlineStr">
        <is>
          <t>Descargar y distribuir el documento internamente para su análisis técnico/económico inmediato, preparándose para la siguiente etapa de observaciones.</t>
        </is>
      </c>
      <c r="S18" s="11" t="n"/>
    </row>
    <row r="19" ht="57.6" customHeight="1" thickBot="1">
      <c r="A19" s="53" t="n">
        <v>66</v>
      </c>
      <c r="B19" s="21" t="inlineStr">
        <is>
          <t>Decreto 10</t>
        </is>
      </c>
      <c r="C19" s="21" t="inlineStr">
        <is>
          <t>2024-2027</t>
        </is>
      </c>
      <c r="D19" s="21" t="inlineStr">
        <is>
          <t>Valorización</t>
        </is>
      </c>
      <c r="E19" s="21" t="inlineStr">
        <is>
          <t>Informe Avance 2 (Nacional)</t>
        </is>
      </c>
      <c r="F19" s="21" t="inlineStr">
        <is>
          <t>ep_tvaldes@colbun.cl</t>
        </is>
      </c>
      <c r="G19" s="21" t="inlineStr">
        <is>
          <t>Consultor</t>
        </is>
      </c>
      <c r="H19" s="21" t="n">
        <v>351</v>
      </c>
      <c r="I19" s="21" t="inlineStr">
        <is>
          <t>Corridos</t>
        </is>
      </c>
      <c r="J19" s="36" t="n">
        <v>65</v>
      </c>
      <c r="K19" s="15" t="n"/>
      <c r="L19" s="23" t="n">
        <v>46079</v>
      </c>
      <c r="M19" s="23" t="n">
        <v>46079</v>
      </c>
      <c r="N19" s="23">
        <f>IF(ISBLANK(M19),L19,M19)</f>
        <v/>
      </c>
      <c r="O19" s="36">
        <f>N19-TODAY()</f>
        <v/>
      </c>
      <c r="P19" s="11" t="inlineStr">
        <is>
          <t>No</t>
        </is>
      </c>
      <c r="Q19" s="11" t="inlineStr">
        <is>
          <t>Entrega del segundo informe de resultados por parte del Consultor. Contiene la valoración actualizada de las instalaciones zonales tras la revisión del Informe 1.</t>
        </is>
      </c>
      <c r="R19" s="11" t="inlineStr">
        <is>
          <t>Descargar el informe y realizar auditoría interna inmediata de los valores asignados a sus instalaciones (V.I., A.V.I., COMA) para preparar las observaciones del siguiente hito.</t>
        </is>
      </c>
      <c r="S19" s="11" t="n"/>
    </row>
    <row r="20" ht="54.6" customHeight="1" thickBot="1">
      <c r="A20" s="53" t="n">
        <v>67</v>
      </c>
      <c r="B20" s="21" t="inlineStr">
        <is>
          <t>Decreto 10</t>
        </is>
      </c>
      <c r="C20" s="21" t="inlineStr">
        <is>
          <t>2024-2027</t>
        </is>
      </c>
      <c r="D20" s="21" t="inlineStr">
        <is>
          <t>Valorización</t>
        </is>
      </c>
      <c r="E20" s="21" t="inlineStr">
        <is>
          <t>Observaciones Informe Avance 2 (Nacional)</t>
        </is>
      </c>
      <c r="F20" s="21" t="inlineStr">
        <is>
          <t>ep_tvaldes@colbun.cl</t>
        </is>
      </c>
      <c r="G20" s="21" t="inlineStr">
        <is>
          <t>Participantes e interesados</t>
        </is>
      </c>
      <c r="H20" s="21" t="n">
        <v>15</v>
      </c>
      <c r="I20" s="21" t="inlineStr">
        <is>
          <t>Hábiles</t>
        </is>
      </c>
      <c r="J20" s="36" t="n">
        <v>66</v>
      </c>
      <c r="K20" s="15" t="n"/>
      <c r="L20" s="23">
        <f>IF(I20="Corridos",H20+N19,WORKDAY(N19,H20,Tabla4[Fecha]))</f>
        <v/>
      </c>
      <c r="M20" s="23" t="n"/>
      <c r="N20" s="23">
        <f>IF(ISBLANK(M20),L20,M20)</f>
        <v/>
      </c>
      <c r="O20" s="36">
        <f>N20-TODAY()</f>
        <v/>
      </c>
      <c r="P20" s="11" t="inlineStr">
        <is>
          <t>Si</t>
        </is>
      </c>
      <c r="Q20" s="11" t="inlineStr">
        <is>
          <t>Plazo normativo para que los Participantes presenten observaciones formales, correcciones o reparos técnicos al segundo informe entregado por el Consultor</t>
        </is>
      </c>
      <c r="R20" s="11" t="inlineStr">
        <is>
          <t>Consolidar los hallazgos de la revisión interna y remitir formalmente el documento de observaciones al Consultor/CNE.</t>
        </is>
      </c>
      <c r="S20" s="11" t="n"/>
    </row>
    <row r="21" ht="132.6" customHeight="1" thickBot="1">
      <c r="A21" s="53" t="n">
        <v>68</v>
      </c>
      <c r="B21" s="21" t="inlineStr">
        <is>
          <t>Decreto 10</t>
        </is>
      </c>
      <c r="C21" s="21" t="inlineStr">
        <is>
          <t>2024-2027</t>
        </is>
      </c>
      <c r="D21" s="21" t="inlineStr">
        <is>
          <t>Valorización</t>
        </is>
      </c>
      <c r="E21" s="21" t="inlineStr">
        <is>
          <t>Informe Preliminar (Nacional)</t>
        </is>
      </c>
      <c r="F21" s="21" t="inlineStr">
        <is>
          <t>ep_tvaldes@colbun.cl</t>
        </is>
      </c>
      <c r="G21" s="21" t="inlineStr">
        <is>
          <t>Consultor</t>
        </is>
      </c>
      <c r="H21" s="21" t="n">
        <v>401</v>
      </c>
      <c r="I21" s="21" t="inlineStr">
        <is>
          <t>Corridos</t>
        </is>
      </c>
      <c r="J21" s="36" t="n">
        <v>65</v>
      </c>
      <c r="K21" s="15" t="n"/>
      <c r="L21" s="23">
        <f>IF(I21="Corridos",H21+M18,WORKDAY(M18,H21,Tabla4[Fecha]))</f>
        <v/>
      </c>
      <c r="M21" s="23" t="n">
        <v>46129</v>
      </c>
      <c r="N21" s="23">
        <f>IF(ISBLANK(M21),L21,M21)</f>
        <v/>
      </c>
      <c r="O21" s="36">
        <f>N21-TODAY()</f>
        <v/>
      </c>
      <c r="P21" s="11" t="inlineStr">
        <is>
          <t>No</t>
        </is>
      </c>
      <c r="Q21" s="11" t="inlineStr">
        <is>
          <t>Entrega por parte del Consultor del informe consolidado del estudio. Presenta la propuesta completa de valorización</t>
        </is>
      </c>
      <c r="R21" s="11" t="inlineStr">
        <is>
          <t>Descargar el informe y realizar la revisión más exhaustiva del proceso. Es la base para preparar las observaciones críticas del siguiente hito.</t>
        </is>
      </c>
      <c r="S21" s="11" t="n"/>
    </row>
    <row r="22" ht="93" customHeight="1" thickBot="1">
      <c r="A22" s="53" t="n">
        <v>69</v>
      </c>
      <c r="B22" s="21" t="inlineStr">
        <is>
          <t>Decreto 10</t>
        </is>
      </c>
      <c r="C22" s="21" t="inlineStr">
        <is>
          <t>2024-2027</t>
        </is>
      </c>
      <c r="D22" s="21" t="inlineStr">
        <is>
          <t>Valorización</t>
        </is>
      </c>
      <c r="E22" s="21" t="inlineStr">
        <is>
          <t>Observaciones Informe Preliminar (Nacional)</t>
        </is>
      </c>
      <c r="F22" s="21" t="inlineStr">
        <is>
          <t>ep_tvaldes@colbun.cl</t>
        </is>
      </c>
      <c r="G22" s="21" t="inlineStr">
        <is>
          <t>Participantes e interesados</t>
        </is>
      </c>
      <c r="H22" s="21" t="n">
        <v>15</v>
      </c>
      <c r="I22" s="21" t="inlineStr">
        <is>
          <t>Hábiles</t>
        </is>
      </c>
      <c r="J22" s="36" t="n">
        <v>68</v>
      </c>
      <c r="K22" s="15" t="n"/>
      <c r="L22" s="23">
        <f>IF(I22="Corridos",H22+N21,WORKDAY(N21,H22,Tabla4[Fecha]))</f>
        <v/>
      </c>
      <c r="M22" s="23" t="n"/>
      <c r="N22" s="23">
        <f>IF(ISBLANK(M22),L22,M22)</f>
        <v/>
      </c>
      <c r="O22" s="36">
        <f>N22-TODAY()</f>
        <v/>
      </c>
      <c r="P22" s="11" t="inlineStr">
        <is>
          <t>Si</t>
        </is>
      </c>
      <c r="Q22" s="11" t="inlineStr">
        <is>
          <t>Ventana legal para presentar observaciones formales ante la CNE respecto al Informe Técnico Preliminar.</t>
        </is>
      </c>
      <c r="R22" s="11" t="inlineStr">
        <is>
          <t>Enviar documento formal a la CNE con los reparos técnicos/económicos.</t>
        </is>
      </c>
      <c r="S22" s="11" t="n"/>
    </row>
    <row r="23" ht="159" customHeight="1" thickBot="1">
      <c r="A23" s="53" t="n">
        <v>70</v>
      </c>
      <c r="B23" s="21" t="inlineStr">
        <is>
          <t>Decreto 10</t>
        </is>
      </c>
      <c r="C23" s="21" t="inlineStr">
        <is>
          <t>2024-2027</t>
        </is>
      </c>
      <c r="D23" s="21" t="inlineStr">
        <is>
          <t>Valorización</t>
        </is>
      </c>
      <c r="E23" s="21" t="inlineStr">
        <is>
          <t>Informe Final (Nacional)</t>
        </is>
      </c>
      <c r="F23" s="21" t="inlineStr">
        <is>
          <t>ep_tvaldes@colbun.cl</t>
        </is>
      </c>
      <c r="G23" s="21" t="inlineStr">
        <is>
          <t>Consultor</t>
        </is>
      </c>
      <c r="H23" s="21" t="n">
        <v>441</v>
      </c>
      <c r="I23" s="21" t="inlineStr">
        <is>
          <t>Corridos</t>
        </is>
      </c>
      <c r="J23" s="36" t="n">
        <v>65</v>
      </c>
      <c r="K23" s="15" t="n"/>
      <c r="L23" s="23">
        <f>IF(I23="Corridos",H23+M18,WORKDAY(M18,H23,Tabla4[Fecha]))</f>
        <v/>
      </c>
      <c r="M23" s="23" t="n">
        <v>46169</v>
      </c>
      <c r="N23" s="23">
        <f>IF(ISBLANK(M23),L23,M23)</f>
        <v/>
      </c>
      <c r="O23" s="36">
        <f>N23-TODAY()</f>
        <v/>
      </c>
      <c r="P23" s="11" t="inlineStr">
        <is>
          <t>No</t>
        </is>
      </c>
      <c r="Q23" s="11" t="inlineStr">
        <is>
          <t>Emisión por parte de la CNE del Informe Técnico Final, donde se aceptan o rechazan fundadamente las observaciones realizadas al Informe Preliminar.</t>
        </is>
      </c>
      <c r="R23" s="11" t="inlineStr">
        <is>
          <t>Analizar el Informe Final para verificar si las observaciones presentadas anteriormente fueron acogidas.</t>
        </is>
      </c>
      <c r="S23" s="11" t="n"/>
    </row>
    <row r="24" ht="145.9" customHeight="1" thickBot="1">
      <c r="A24" s="53" t="n">
        <v>71</v>
      </c>
      <c r="B24" s="14" t="inlineStr">
        <is>
          <t>Decreto 10</t>
        </is>
      </c>
      <c r="C24" s="14" t="inlineStr">
        <is>
          <t>2024-2027</t>
        </is>
      </c>
      <c r="D24" s="14" t="inlineStr">
        <is>
          <t>Valorización</t>
        </is>
      </c>
      <c r="E24" s="14" t="inlineStr">
        <is>
          <t>Observaciones Informe Final (Nacional)</t>
        </is>
      </c>
      <c r="F24" s="14" t="inlineStr">
        <is>
          <t>ep_tvaldes@colbun.cl</t>
        </is>
      </c>
      <c r="G24" s="14" t="inlineStr">
        <is>
          <t>Participantes e interesados</t>
        </is>
      </c>
      <c r="H24" s="14" t="n">
        <v>10</v>
      </c>
      <c r="I24" s="14" t="inlineStr">
        <is>
          <t>Hábiles</t>
        </is>
      </c>
      <c r="J24" s="20" t="n">
        <v>70</v>
      </c>
      <c r="K24" s="15" t="n"/>
      <c r="L24" s="15">
        <f>IF(I24="Corridos",H24+N23,WORKDAY(N23,H24,Tabla4[Fecha]))</f>
        <v/>
      </c>
      <c r="M24" s="15" t="n"/>
      <c r="N24" s="15">
        <f>IF(ISBLANK(M24),L24,M24)</f>
        <v/>
      </c>
      <c r="O24" s="20">
        <f>N24-TODAY()</f>
        <v/>
      </c>
      <c r="P24" s="11" t="inlineStr">
        <is>
          <t>Si</t>
        </is>
      </c>
      <c r="Q24" s="11" t="inlineStr">
        <is>
          <t>Plazo límite para presentar Discrepancias ante el Panel de Expertos si se mantienen desacuerdos con el Informe Final de la CNE.</t>
        </is>
      </c>
      <c r="R24" s="11" t="inlineStr">
        <is>
          <t>Si persisten diferencias económicas relevantes tras el Informe Final, redactar y presentar el escrito de discrepancia ante el Panel de Expertos</t>
        </is>
      </c>
      <c r="S24" s="11" t="n"/>
    </row>
    <row r="25" ht="159" customHeight="1" thickBot="1">
      <c r="A25" s="53" t="n">
        <v>72</v>
      </c>
      <c r="B25" s="14" t="inlineStr">
        <is>
          <t>Decreto 10</t>
        </is>
      </c>
      <c r="C25" s="14" t="inlineStr">
        <is>
          <t>2024-2027</t>
        </is>
      </c>
      <c r="D25" s="14" t="inlineStr">
        <is>
          <t>Valorización</t>
        </is>
      </c>
      <c r="E25" s="14" t="inlineStr">
        <is>
          <t>Informe Definitivo (Nacional)</t>
        </is>
      </c>
      <c r="F25" s="14" t="inlineStr">
        <is>
          <t>ep_tvaldes@colbun.cl</t>
        </is>
      </c>
      <c r="G25" s="14" t="inlineStr">
        <is>
          <t>Consultor</t>
        </is>
      </c>
      <c r="H25" s="14" t="n">
        <v>10</v>
      </c>
      <c r="I25" s="14" t="inlineStr">
        <is>
          <t>Hábiles</t>
        </is>
      </c>
      <c r="J25" s="20" t="n">
        <v>71</v>
      </c>
      <c r="K25" s="15" t="n"/>
      <c r="L25" s="15">
        <f>IF(I25="Corridos",H25+N24,WORKDAY(N24,H25,Tabla4[Fecha]))</f>
        <v/>
      </c>
      <c r="M25" s="20" t="n"/>
      <c r="N25" s="15">
        <f>IF(ISBLANK(M25),L25,M25)</f>
        <v/>
      </c>
      <c r="O25" s="20">
        <f>N25-TODAY()</f>
        <v/>
      </c>
      <c r="P25" s="11" t="inlineStr">
        <is>
          <t>No</t>
        </is>
      </c>
      <c r="Q25" s="11" t="inlineStr">
        <is>
          <t>Emisión por la CNE del Informe Técnico Definitivo. Consolida los valores finales tras incorporar, si las hubo, las correcciones dictaminadas por el Panel de Expertos.</t>
        </is>
      </c>
      <c r="R25" s="11" t="inlineStr">
        <is>
          <t>Auditar que el informe haya incorporado correctamente los dictámenes ganados en el Panel de Expertos.</t>
        </is>
      </c>
      <c r="S25" s="11" t="n"/>
    </row>
    <row r="26" ht="53.45" customHeight="1" thickBot="1">
      <c r="A26" s="53" t="n">
        <v>73</v>
      </c>
      <c r="B26" s="14" t="inlineStr">
        <is>
          <t>Decreto 10</t>
        </is>
      </c>
      <c r="C26" s="14" t="inlineStr">
        <is>
          <t>2024-2027</t>
        </is>
      </c>
      <c r="D26" s="14" t="inlineStr">
        <is>
          <t>Valorización</t>
        </is>
      </c>
      <c r="E26" s="14" t="inlineStr">
        <is>
          <t>Convocatoria Audiencia Pública</t>
        </is>
      </c>
      <c r="F26" s="14" t="inlineStr">
        <is>
          <t>ep_tvaldes@colbun.cl</t>
        </is>
      </c>
      <c r="G26" s="14" t="inlineStr">
        <is>
          <t>CNE</t>
        </is>
      </c>
      <c r="H26" s="14" t="n">
        <v>5</v>
      </c>
      <c r="I26" s="14" t="inlineStr">
        <is>
          <t>Hábiles</t>
        </is>
      </c>
      <c r="J26" s="20" t="n">
        <v>72</v>
      </c>
      <c r="K26" s="15" t="n"/>
      <c r="L26" s="15">
        <f>IF(I26="Corridos",H26+N25,WORKDAY(N25,H26,Tabla4[Fecha]))</f>
        <v/>
      </c>
      <c r="M26" s="15" t="n"/>
      <c r="N26" s="15">
        <f>IF(ISBLANK(M26),L26,M26)</f>
        <v/>
      </c>
      <c r="O26" s="20">
        <f>N26-TODAY()</f>
        <v/>
      </c>
      <c r="P26" s="11" t="inlineStr">
        <is>
          <t>Si</t>
        </is>
      </c>
      <c r="Q26" s="11" t="inlineStr">
        <is>
          <t>La CNE cita oficialmente a las partes. Se fija fecha y hora.</t>
        </is>
      </c>
      <c r="R26" s="63" t="inlineStr">
        <is>
          <t>Confirmar recepción de citación</t>
        </is>
      </c>
      <c r="S26" s="11" t="n"/>
    </row>
    <row r="27" ht="106.15" customHeight="1" thickBot="1">
      <c r="A27" s="53" t="n">
        <v>74</v>
      </c>
      <c r="B27" s="14" t="inlineStr">
        <is>
          <t>Decreto 10</t>
        </is>
      </c>
      <c r="C27" s="14" t="inlineStr">
        <is>
          <t>2024-2027</t>
        </is>
      </c>
      <c r="D27" s="14" t="inlineStr">
        <is>
          <t>Valorización</t>
        </is>
      </c>
      <c r="E27" s="14" t="inlineStr">
        <is>
          <t>Presentación Nomina de Asitentes</t>
        </is>
      </c>
      <c r="F27" s="14" t="inlineStr">
        <is>
          <t>ep_tvaldes@colbun.cl</t>
        </is>
      </c>
      <c r="G27" s="14" t="inlineStr">
        <is>
          <t>Participantes e interesados</t>
        </is>
      </c>
      <c r="H27" s="14" t="n">
        <v>3</v>
      </c>
      <c r="I27" s="14" t="inlineStr">
        <is>
          <t>Hábiles</t>
        </is>
      </c>
      <c r="J27" s="20" t="n">
        <v>73</v>
      </c>
      <c r="K27" s="15" t="n"/>
      <c r="L27" s="15">
        <f>IF(I27="Corridos",H27+N26,WORKDAY(N26,H27,Tabla4[Fecha]))</f>
        <v/>
      </c>
      <c r="M27" s="15" t="n"/>
      <c r="N27" s="15">
        <f>IF(ISBLANK(M27),L27,M27)</f>
        <v/>
      </c>
      <c r="O27" s="20">
        <f>N27-TODAY()</f>
        <v/>
      </c>
      <c r="P27" s="11" t="inlineStr">
        <is>
          <t>Si</t>
        </is>
      </c>
      <c r="Q27" s="11" t="inlineStr">
        <is>
          <t>Plazo administrativo previo a la audiencia para informar a la CNE los nombres y RUT de quienes asistirán.</t>
        </is>
      </c>
      <c r="R27" s="63" t="inlineStr">
        <is>
          <t>Enviar correo al secretario de la CNE con la lista.</t>
        </is>
      </c>
      <c r="S27" s="11" t="n"/>
    </row>
    <row r="28" ht="53.45" customHeight="1" thickBot="1">
      <c r="A28" s="53" t="n">
        <v>75</v>
      </c>
      <c r="B28" s="26" t="inlineStr">
        <is>
          <t>Decreto 10</t>
        </is>
      </c>
      <c r="C28" s="26" t="inlineStr">
        <is>
          <t>2024-2027</t>
        </is>
      </c>
      <c r="D28" s="26" t="inlineStr">
        <is>
          <t>Valorización</t>
        </is>
      </c>
      <c r="E28" s="26" t="inlineStr">
        <is>
          <t>Audiencia Publica</t>
        </is>
      </c>
      <c r="F28" s="26" t="inlineStr">
        <is>
          <t>ep_tvaldes@colbun.cl</t>
        </is>
      </c>
      <c r="G28" s="26" t="inlineStr">
        <is>
          <t>Participantes e interesados</t>
        </is>
      </c>
      <c r="H28" s="26" t="n">
        <v>10</v>
      </c>
      <c r="I28" s="26" t="inlineStr">
        <is>
          <t>Hábiles</t>
        </is>
      </c>
      <c r="J28" s="26" t="n">
        <v>74</v>
      </c>
      <c r="K28" s="15" t="n"/>
      <c r="L28" s="27">
        <f>IF(I28="Corridos",H28+N27,WORKDAY(N27,H28,Tabla4[Fecha]))</f>
        <v/>
      </c>
      <c r="M28" s="27" t="n"/>
      <c r="N28" s="27">
        <f>IF(ISBLANK(M28),L28,M28)</f>
        <v/>
      </c>
      <c r="O28" s="60">
        <f>N28-TODAY()</f>
        <v/>
      </c>
      <c r="P28" s="11" t="inlineStr">
        <is>
          <t>Si</t>
        </is>
      </c>
      <c r="Q28" s="11" t="inlineStr">
        <is>
          <t>Sesión oral ante la CNE e Interasados.</t>
        </is>
      </c>
      <c r="R28" s="63" t="inlineStr">
        <is>
          <t>Consultores deben presentarse y exponer.</t>
        </is>
      </c>
      <c r="S28" s="11" t="n"/>
    </row>
    <row r="29" ht="40.15" customHeight="1" thickBot="1">
      <c r="A29" s="54" t="n">
        <v>100</v>
      </c>
      <c r="B29" s="9" t="inlineStr">
        <is>
          <t>Decreto 10</t>
        </is>
      </c>
      <c r="C29" s="9" t="inlineStr">
        <is>
          <t>2024-2027</t>
        </is>
      </c>
      <c r="D29" s="9" t="inlineStr">
        <is>
          <t>Valorización</t>
        </is>
      </c>
      <c r="E29" s="9" t="inlineStr">
        <is>
          <t>Informe Técnico Valorización Preliminar</t>
        </is>
      </c>
      <c r="F29" s="9" t="inlineStr">
        <is>
          <t>ep_tvaldes@colbun.cl</t>
        </is>
      </c>
      <c r="G29" s="9" t="inlineStr">
        <is>
          <t>CNE</t>
        </is>
      </c>
      <c r="H29" s="9" t="n">
        <v>90</v>
      </c>
      <c r="I29" s="9" t="inlineStr">
        <is>
          <t>Hábiles</t>
        </is>
      </c>
      <c r="J29" s="37" t="n">
        <v>75</v>
      </c>
      <c r="K29" s="15" t="n"/>
      <c r="L29" s="11">
        <f>IF(I29="Corridos",H29+N28,WORKDAY(N28,H29,Tabla4[Fecha]))</f>
        <v/>
      </c>
      <c r="M29" s="11" t="n"/>
      <c r="N29" s="11">
        <f>IF(ISBLANK(M29),L29,M29)</f>
        <v/>
      </c>
      <c r="O29" s="37">
        <f>N29-TODAY()</f>
        <v/>
      </c>
      <c r="P29" s="11" t="n"/>
      <c r="Q29" s="11" t="n"/>
      <c r="R29" s="11" t="n"/>
      <c r="S29" s="11" t="n"/>
    </row>
    <row r="30" ht="53.45" customHeight="1" thickBot="1">
      <c r="A30" s="54" t="n">
        <v>101</v>
      </c>
      <c r="B30" s="9" t="inlineStr">
        <is>
          <t>Decreto 10</t>
        </is>
      </c>
      <c r="C30" s="9" t="inlineStr">
        <is>
          <t>2024-2027</t>
        </is>
      </c>
      <c r="D30" s="9" t="inlineStr">
        <is>
          <t>Valorización</t>
        </is>
      </c>
      <c r="E30" s="9" t="inlineStr">
        <is>
          <t>Observaciones Informe Técnico Valorización Preliminar</t>
        </is>
      </c>
      <c r="F30" s="9" t="inlineStr">
        <is>
          <t>ep_tvaldes@colbun.cl</t>
        </is>
      </c>
      <c r="G30" s="9" t="inlineStr">
        <is>
          <t>Participantes e interesados</t>
        </is>
      </c>
      <c r="H30" s="9" t="n">
        <v>10</v>
      </c>
      <c r="I30" s="9" t="inlineStr">
        <is>
          <t>Hábiles</t>
        </is>
      </c>
      <c r="J30" s="37" t="n">
        <v>76</v>
      </c>
      <c r="K30" s="15" t="n"/>
      <c r="L30" s="11">
        <f>IF(I30="Corridos",H30+N29,WORKDAY(N29,H30,Tabla4[Fecha]))</f>
        <v/>
      </c>
      <c r="M30" s="11" t="n"/>
      <c r="N30" s="11">
        <f>IF(ISBLANK(M30),L30,M30)</f>
        <v/>
      </c>
      <c r="O30" s="37">
        <f>N30-TODAY()</f>
        <v/>
      </c>
      <c r="P30" s="11" t="n"/>
      <c r="Q30" s="11" t="n"/>
      <c r="R30" s="11" t="n"/>
      <c r="S30" s="11" t="n"/>
    </row>
    <row r="31" ht="27" customHeight="1" thickBot="1">
      <c r="A31" s="54" t="n">
        <v>102</v>
      </c>
      <c r="B31" s="9" t="inlineStr">
        <is>
          <t>Decreto 10</t>
        </is>
      </c>
      <c r="C31" s="9" t="inlineStr">
        <is>
          <t>2024-2027</t>
        </is>
      </c>
      <c r="D31" s="9" t="inlineStr">
        <is>
          <t>Valorización</t>
        </is>
      </c>
      <c r="E31" s="9" t="inlineStr">
        <is>
          <t xml:space="preserve"> Informe Técnico Valorización Final</t>
        </is>
      </c>
      <c r="F31" s="9" t="inlineStr">
        <is>
          <t>ep_tvaldes@colbun.cl</t>
        </is>
      </c>
      <c r="G31" s="9" t="inlineStr">
        <is>
          <t>CNE</t>
        </is>
      </c>
      <c r="H31" s="9" t="n">
        <v>20</v>
      </c>
      <c r="I31" s="9" t="inlineStr">
        <is>
          <t>Hábiles</t>
        </is>
      </c>
      <c r="J31" s="37" t="n">
        <v>77</v>
      </c>
      <c r="K31" s="15" t="n"/>
      <c r="L31" s="11">
        <f>IF(I31="Corridos",H31+N30,WORKDAY(N30,H31,Tabla4[Fecha]))</f>
        <v/>
      </c>
      <c r="M31" s="11" t="n"/>
      <c r="N31" s="11">
        <f>IF(ISBLANK(M31),L31,M31)</f>
        <v/>
      </c>
      <c r="O31" s="37">
        <f>N31-TODAY()</f>
        <v/>
      </c>
      <c r="P31" s="11" t="n"/>
      <c r="Q31" s="11" t="n"/>
      <c r="R31" s="11" t="n"/>
      <c r="S31" s="11" t="n"/>
    </row>
    <row r="32" ht="119.45" customHeight="1" thickBot="1">
      <c r="A32" s="54" t="n">
        <v>103</v>
      </c>
      <c r="B32" s="9" t="inlineStr">
        <is>
          <t>Decreto 10</t>
        </is>
      </c>
      <c r="C32" s="9" t="inlineStr">
        <is>
          <t>2024-2027</t>
        </is>
      </c>
      <c r="D32" s="9" t="inlineStr">
        <is>
          <t>Valorización</t>
        </is>
      </c>
      <c r="E32" s="9" t="inlineStr">
        <is>
          <t>Presentación de Discrepancias al Panel de Expertos</t>
        </is>
      </c>
      <c r="F32" s="9" t="inlineStr">
        <is>
          <t>ep_tvaldes@colbun.cl</t>
        </is>
      </c>
      <c r="G32" s="9" t="inlineStr">
        <is>
          <t>Participantes e interesados</t>
        </is>
      </c>
      <c r="H32" s="9" t="n">
        <v>10</v>
      </c>
      <c r="I32" s="9" t="inlineStr">
        <is>
          <t>Hábiles</t>
        </is>
      </c>
      <c r="J32" s="37" t="n">
        <v>78</v>
      </c>
      <c r="K32" s="15" t="n"/>
      <c r="L32" s="11">
        <f>IF(I32="Corridos",H32+N31,WORKDAY(N31,H32,Tabla4[Fecha]))</f>
        <v/>
      </c>
      <c r="M32" s="11" t="n"/>
      <c r="N32" s="11">
        <f>IF(ISBLANK(M32),L32,M32)</f>
        <v/>
      </c>
      <c r="O32" s="37">
        <f>N32-TODAY()</f>
        <v/>
      </c>
      <c r="P32" s="11" t="inlineStr">
        <is>
          <t>Si</t>
        </is>
      </c>
      <c r="Q32" s="11" t="inlineStr">
        <is>
          <t>Plazo límite para apelar ante el Panel de Expertos si persisten desacuerdos con el Informe Final.</t>
        </is>
      </c>
      <c r="R32" s="63" t="inlineStr">
        <is>
          <t>Solo si la respuesta en el ITF no fue satisfactoria. Requiere presentación de escrito legal/técnico al Panel.</t>
        </is>
      </c>
      <c r="S32" s="11" t="n"/>
    </row>
    <row r="33" ht="66.59999999999999" customHeight="1" thickBot="1">
      <c r="A33" s="54" t="n"/>
      <c r="B33" s="9" t="inlineStr">
        <is>
          <t>Decreto 10</t>
        </is>
      </c>
      <c r="C33" s="9" t="inlineStr">
        <is>
          <t>2024-2027</t>
        </is>
      </c>
      <c r="D33" s="9" t="inlineStr">
        <is>
          <t>Valorización</t>
        </is>
      </c>
      <c r="E33" s="9" t="inlineStr">
        <is>
          <t xml:space="preserve">Convocatoria Audiencia </t>
        </is>
      </c>
      <c r="F33" s="9" t="inlineStr">
        <is>
          <t>ep_tvaldes@colbun.cl</t>
        </is>
      </c>
      <c r="G33" s="9" t="inlineStr">
        <is>
          <t>CNE</t>
        </is>
      </c>
      <c r="H33" s="9" t="n">
        <v>5</v>
      </c>
      <c r="I33" s="9" t="inlineStr">
        <is>
          <t>Hábiles</t>
        </is>
      </c>
      <c r="J33" s="37" t="n"/>
      <c r="K33" s="15" t="n"/>
      <c r="L33" s="11">
        <f>IF(I33="Corridos",H33+N32,WORKDAY(N32,H33,Tabla4[Fecha]))</f>
        <v/>
      </c>
      <c r="M33" s="11" t="n"/>
      <c r="N33" s="11">
        <f>IF(ISBLANK(M33),L33,M33)</f>
        <v/>
      </c>
      <c r="O33" s="37">
        <f>N33-TODAY()</f>
        <v/>
      </c>
      <c r="P33" s="11" t="inlineStr">
        <is>
          <t>Si</t>
        </is>
      </c>
      <c r="Q33" s="11" t="inlineStr">
        <is>
          <t>El Panel cita oficialmente a las partes. Se fija fecha y hora para los alegatos.</t>
        </is>
      </c>
      <c r="R33" s="63" t="inlineStr">
        <is>
          <t>Confirmar recepción de citación</t>
        </is>
      </c>
      <c r="S33" s="11" t="n"/>
    </row>
    <row r="34" ht="106.15" customHeight="1" thickBot="1">
      <c r="A34" s="54" t="n"/>
      <c r="B34" s="9" t="inlineStr">
        <is>
          <t>Decreto 10</t>
        </is>
      </c>
      <c r="C34" s="9" t="inlineStr">
        <is>
          <t>2024-2027</t>
        </is>
      </c>
      <c r="D34" s="9" t="inlineStr">
        <is>
          <t>Valorización</t>
        </is>
      </c>
      <c r="E34" s="9" t="inlineStr">
        <is>
          <t>Presentación de nomina de asistentes</t>
        </is>
      </c>
      <c r="F34" s="9" t="inlineStr">
        <is>
          <t>ep_tvaldes@colbun.cl</t>
        </is>
      </c>
      <c r="G34" s="9" t="inlineStr">
        <is>
          <t>CNE</t>
        </is>
      </c>
      <c r="H34" s="9" t="n">
        <v>3</v>
      </c>
      <c r="I34" s="9" t="n"/>
      <c r="J34" s="37" t="n"/>
      <c r="K34" s="15" t="n"/>
      <c r="L34" s="11">
        <f>IF(I34="Corridos",H34+N33,WORKDAY(N33,H34,Tabla4[Fecha]))</f>
        <v/>
      </c>
      <c r="M34" s="11" t="n"/>
      <c r="N34" s="11">
        <f>IF(ISBLANK(M34),L34,M34)</f>
        <v/>
      </c>
      <c r="O34" s="37">
        <f>N34-TODAY()</f>
        <v/>
      </c>
      <c r="P34" s="11" t="inlineStr">
        <is>
          <t>Si</t>
        </is>
      </c>
      <c r="Q34" s="11" t="inlineStr">
        <is>
          <t>Plazo administrativo previo a la audiencia para informar al Panel los nombres y RUT de quienes asistirán.</t>
        </is>
      </c>
      <c r="R34" s="63" t="inlineStr">
        <is>
          <t>Enviar correo al secretario del Panel con la lista.</t>
        </is>
      </c>
      <c r="S34" s="11" t="n"/>
    </row>
    <row r="35" ht="53.45" customHeight="1" thickBot="1">
      <c r="A35" s="54" t="n">
        <v>104</v>
      </c>
      <c r="B35" s="9" t="inlineStr">
        <is>
          <t>Decreto 10</t>
        </is>
      </c>
      <c r="C35" s="9" t="inlineStr">
        <is>
          <t>2024-2027</t>
        </is>
      </c>
      <c r="D35" s="9" t="inlineStr">
        <is>
          <t>Valorización</t>
        </is>
      </c>
      <c r="E35" s="9" t="inlineStr">
        <is>
          <t>Audiencia Panel de Expertos</t>
        </is>
      </c>
      <c r="F35" s="9" t="inlineStr">
        <is>
          <t>ep_tvaldes@colbun.cl</t>
        </is>
      </c>
      <c r="G35" s="9" t="inlineStr">
        <is>
          <t>Panel de Expertos</t>
        </is>
      </c>
      <c r="H35" s="9" t="n">
        <v>10</v>
      </c>
      <c r="I35" s="9" t="inlineStr">
        <is>
          <t>Hábiles</t>
        </is>
      </c>
      <c r="J35" s="37" t="n">
        <v>79</v>
      </c>
      <c r="K35" s="15" t="n"/>
      <c r="L35" s="11">
        <f>IF(I35="Corridos",H35+N32,WORKDAY(N32,H35,Tabla4[Fecha]))</f>
        <v/>
      </c>
      <c r="M35" s="11" t="n"/>
      <c r="N35" s="11">
        <f>IF(ISBLANK(M35),L35,M35)</f>
        <v/>
      </c>
      <c r="O35" s="37">
        <f>N35-TODAY()</f>
        <v/>
      </c>
      <c r="P35" s="11" t="inlineStr">
        <is>
          <t>Si</t>
        </is>
      </c>
      <c r="Q35" s="11" t="inlineStr">
        <is>
          <t>Sesión oral ante el Panel de Expertos</t>
        </is>
      </c>
      <c r="R35" s="63" t="inlineStr">
        <is>
          <t>Ejecutivos y abogados deben presentarse y exponer.</t>
        </is>
      </c>
      <c r="S35" s="11" t="n"/>
    </row>
    <row r="36" ht="93" customHeight="1" thickBot="1">
      <c r="A36" s="54" t="n">
        <v>105</v>
      </c>
      <c r="B36" s="9" t="inlineStr">
        <is>
          <t>Decreto 10</t>
        </is>
      </c>
      <c r="C36" s="9" t="inlineStr">
        <is>
          <t>2024-2027</t>
        </is>
      </c>
      <c r="D36" s="9" t="inlineStr">
        <is>
          <t>Valorización</t>
        </is>
      </c>
      <c r="E36" s="9" t="inlineStr">
        <is>
          <t>Dictamen Panel de Expertos</t>
        </is>
      </c>
      <c r="F36" s="9" t="inlineStr">
        <is>
          <t>ep_tvaldes@colbun.cl</t>
        </is>
      </c>
      <c r="G36" s="9" t="inlineStr">
        <is>
          <t>Panel de Expertos</t>
        </is>
      </c>
      <c r="H36" s="9" t="n">
        <v>45</v>
      </c>
      <c r="I36" s="9" t="inlineStr">
        <is>
          <t>Hábiles</t>
        </is>
      </c>
      <c r="J36" s="37" t="n">
        <v>80</v>
      </c>
      <c r="K36" s="15" t="n"/>
      <c r="L36" s="11">
        <f>IF(I36="Corridos",H36+N35,WORKDAY(N35,H36,Tabla4[Fecha]))</f>
        <v/>
      </c>
      <c r="M36" s="11" t="n"/>
      <c r="N36" s="11">
        <f>IF(ISBLANK(M36),L36,M36)</f>
        <v/>
      </c>
      <c r="O36" s="37">
        <f>N36-TODAY()</f>
        <v/>
      </c>
      <c r="P36" s="11" t="inlineStr">
        <is>
          <t>No</t>
        </is>
      </c>
      <c r="Q36" s="11" t="inlineStr">
        <is>
          <t>El Panel emite su fallo definitivo e inapelable. Resuelve si acepta o rechaza las discrepancias presentadas.</t>
        </is>
      </c>
      <c r="R36" s="63" t="inlineStr">
        <is>
          <t>Analizar fallo inmediatamente.</t>
        </is>
      </c>
      <c r="S36" s="11" t="n"/>
    </row>
    <row r="37" ht="93" customHeight="1" thickBot="1">
      <c r="A37" s="54" t="n">
        <v>106</v>
      </c>
      <c r="B37" s="9" t="inlineStr">
        <is>
          <t>Decreto 10</t>
        </is>
      </c>
      <c r="C37" s="9" t="inlineStr">
        <is>
          <t>2024-2027</t>
        </is>
      </c>
      <c r="D37" s="9" t="inlineStr">
        <is>
          <t>Valorización</t>
        </is>
      </c>
      <c r="E37" s="9" t="inlineStr">
        <is>
          <t>Informe Técnico de Valorización definitivo</t>
        </is>
      </c>
      <c r="F37" s="9" t="inlineStr">
        <is>
          <t>ep_tvaldes@colbun.cl</t>
        </is>
      </c>
      <c r="G37" s="9" t="inlineStr">
        <is>
          <t>CNE</t>
        </is>
      </c>
      <c r="H37" s="9" t="n">
        <v>20</v>
      </c>
      <c r="I37" s="9" t="inlineStr">
        <is>
          <t>Hábiles</t>
        </is>
      </c>
      <c r="J37" s="37" t="n">
        <v>81</v>
      </c>
      <c r="K37" s="15" t="n"/>
      <c r="L37" s="11">
        <f>IF(I37="Corridos",H37+N36,WORKDAY(N36,H37,Tabla4[Fecha]))</f>
        <v/>
      </c>
      <c r="M37" s="11" t="n"/>
      <c r="N37" s="11">
        <f>IF(ISBLANK(M37),L37,M37)</f>
        <v/>
      </c>
      <c r="O37" s="37">
        <f>N37-TODAY()</f>
        <v/>
      </c>
      <c r="P37" s="11" t="inlineStr">
        <is>
          <t>No</t>
        </is>
      </c>
      <c r="Q37" s="11" t="inlineStr">
        <is>
          <t>La CNE ajusta el plan según lo ordenado por el Panel y envía la versión final consolidada al Ministerio.</t>
        </is>
      </c>
      <c r="R37" s="63" t="inlineStr">
        <is>
          <t>Marca el fin del trabajo de la CNE y el pase al Ministerio.</t>
        </is>
      </c>
      <c r="S37" s="11" t="n"/>
    </row>
    <row r="38" ht="119.45" customHeight="1" thickBot="1">
      <c r="A38" s="55" t="n">
        <v>107</v>
      </c>
      <c r="B38" s="56" t="inlineStr">
        <is>
          <t>Decreto 10</t>
        </is>
      </c>
      <c r="C38" s="56" t="inlineStr">
        <is>
          <t>2024-2027</t>
        </is>
      </c>
      <c r="D38" s="56" t="inlineStr">
        <is>
          <t>Valorización</t>
        </is>
      </c>
      <c r="E38" s="56" t="inlineStr">
        <is>
          <t>Decreto Expedido</t>
        </is>
      </c>
      <c r="F38" s="56" t="inlineStr">
        <is>
          <t>ep_tvaldes@colbun.cl</t>
        </is>
      </c>
      <c r="G38" s="56" t="inlineStr">
        <is>
          <t>Ministerio de Energía</t>
        </is>
      </c>
      <c r="H38" s="56" t="n">
        <v>20</v>
      </c>
      <c r="I38" s="56" t="inlineStr">
        <is>
          <t>Hábiles</t>
        </is>
      </c>
      <c r="J38" s="57" t="n">
        <v>82</v>
      </c>
      <c r="K38" s="15" t="n"/>
      <c r="L38" s="58">
        <f>IF(I38="Corridos",H38+N37,WORKDAY(N37,H38,Tabla4[Fecha]))</f>
        <v/>
      </c>
      <c r="M38" s="58" t="n"/>
      <c r="N38" s="58">
        <f>IF(ISBLANK(M38),L38,M38)</f>
        <v/>
      </c>
      <c r="O38" s="57">
        <f>N38-TODAY()</f>
        <v/>
      </c>
      <c r="P38" s="11" t="inlineStr">
        <is>
          <t>No</t>
        </is>
      </c>
      <c r="Q38" s="11" t="inlineStr">
        <is>
          <t>El Ministerio publica el Decreto en el Diario Oficial. Nacen legalmente las obras y comienzan a correr los plazos de licitación.</t>
        </is>
      </c>
      <c r="R38" s="63" t="inlineStr">
        <is>
          <t>Descargar Decreto. Revisar cronograma de licitaciones.</t>
        </is>
      </c>
      <c r="S38" s="58" t="n"/>
    </row>
    <row r="39" ht="13.15" customHeight="1"/>
    <row r="40" ht="13.15" customHeight="1"/>
    <row r="41" ht="13.15" customHeight="1"/>
  </sheetData>
  <hyperlinks>
    <hyperlink xmlns:r="http://schemas.openxmlformats.org/officeDocument/2006/relationships" ref="F2" r:id="rId1"/>
    <hyperlink xmlns:r="http://schemas.openxmlformats.org/officeDocument/2006/relationships" ref="F4" r:id="rId2"/>
  </hyperlinks>
  <pageMargins left="0.7" right="0.7" top="0.75" bottom="0.75" header="0.3" footer="0.3"/>
  <pageSetup orientation="portrait"/>
  <tableParts count="1"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83"/>
  <sheetViews>
    <sheetView zoomScale="85" zoomScaleNormal="85" workbookViewId="0">
      <pane ySplit="2" topLeftCell="A44" activePane="bottomLeft" state="frozen"/>
      <selection pane="bottomLeft" activeCell="P31" sqref="P31"/>
    </sheetView>
  </sheetViews>
  <sheetFormatPr baseColWidth="8" defaultColWidth="12.7109375" defaultRowHeight="15.75" customHeight="1"/>
  <cols>
    <col width="17.140625" customWidth="1" min="1" max="1"/>
    <col width="13" bestFit="1" customWidth="1" min="2" max="2"/>
    <col width="24.28515625" bestFit="1" customWidth="1" min="3" max="3"/>
    <col width="18.42578125" customWidth="1" min="4" max="4"/>
    <col width="19.28515625" bestFit="1" customWidth="1" min="5" max="5"/>
    <col width="15.28515625" bestFit="1" customWidth="1" min="6" max="6"/>
    <col width="15.7109375" bestFit="1" customWidth="1" min="7" max="7"/>
    <col width="15.7109375" customWidth="1" min="8" max="8"/>
    <col width="17.140625" bestFit="1" customWidth="1" min="9" max="9"/>
    <col width="17.140625" customWidth="1" min="10" max="10"/>
    <col width="17.7109375" bestFit="1" customWidth="1" min="11" max="11"/>
    <col width="16.42578125" customWidth="1" min="13" max="13"/>
    <col width="18.5703125" bestFit="1" customWidth="1" min="15" max="15"/>
    <col width="14" bestFit="1" customWidth="1" min="16" max="16"/>
    <col width="10.140625" bestFit="1" customWidth="1" min="17" max="17"/>
    <col width="12.85546875" bestFit="1" customWidth="1" min="18" max="18"/>
    <col width="19" bestFit="1" customWidth="1" min="19" max="19"/>
    <col width="17.28515625" bestFit="1" customWidth="1" min="20" max="20"/>
    <col width="14.28515625" bestFit="1" customWidth="1" min="21" max="21"/>
    <col width="17.28515625" bestFit="1" customWidth="1" min="22" max="22"/>
  </cols>
  <sheetData>
    <row r="1" ht="15.75" customHeight="1">
      <c r="A1" t="inlineStr">
        <is>
          <t>ID</t>
        </is>
      </c>
      <c r="B1" t="inlineStr">
        <is>
          <t>Norma</t>
        </is>
      </c>
      <c r="C1" t="inlineStr">
        <is>
          <t>Proceso</t>
        </is>
      </c>
      <c r="D1" t="inlineStr">
        <is>
          <t>Hito / Etapa</t>
        </is>
      </c>
      <c r="E1" t="inlineStr">
        <is>
          <t>Responsable</t>
        </is>
      </c>
      <c r="F1" t="inlineStr">
        <is>
          <t>Plazo</t>
        </is>
      </c>
      <c r="G1" s="24" t="inlineStr">
        <is>
          <t>Tipo_Dia</t>
        </is>
      </c>
      <c r="H1" s="25" t="n"/>
      <c r="I1" t="inlineStr">
        <is>
          <t>ID_Gatillador</t>
        </is>
      </c>
    </row>
    <row r="2" ht="27" customHeight="1" thickBot="1">
      <c r="A2" s="5" t="inlineStr">
        <is>
          <t>ID</t>
        </is>
      </c>
      <c r="B2" s="5" t="inlineStr">
        <is>
          <t>Periodo</t>
        </is>
      </c>
      <c r="C2" s="5" t="inlineStr">
        <is>
          <t>Proceso</t>
        </is>
      </c>
      <c r="D2" s="5" t="inlineStr">
        <is>
          <t>Hito / Etapa</t>
        </is>
      </c>
      <c r="E2" s="5" t="inlineStr">
        <is>
          <t>Responsable</t>
        </is>
      </c>
      <c r="F2" s="5" t="inlineStr">
        <is>
          <t>Plazo</t>
        </is>
      </c>
      <c r="G2" s="5" t="inlineStr">
        <is>
          <t>Tipo Plazo</t>
        </is>
      </c>
      <c r="H2" s="5" t="inlineStr">
        <is>
          <t>Hábiles o Corridos</t>
        </is>
      </c>
      <c r="I2" s="5" t="inlineStr">
        <is>
          <t>Gatillador</t>
        </is>
      </c>
      <c r="J2" s="5" t="inlineStr">
        <is>
          <t>Fecha_teórica</t>
        </is>
      </c>
      <c r="K2" s="5" t="inlineStr">
        <is>
          <t>Fecha Proyectada (Normativa)</t>
        </is>
      </c>
      <c r="L2" s="5" t="inlineStr">
        <is>
          <t>Fecha Real (Evidencia)</t>
        </is>
      </c>
      <c r="M2" s="5" t="inlineStr">
        <is>
          <t>Fecha_Vigente</t>
        </is>
      </c>
    </row>
    <row r="3" ht="27" customHeight="1" thickBot="1">
      <c r="A3" s="2" t="n"/>
      <c r="B3" s="2" t="inlineStr">
        <is>
          <t>2024-2027</t>
        </is>
      </c>
      <c r="C3" s="2" t="inlineStr">
        <is>
          <t>Calificación</t>
        </is>
      </c>
      <c r="D3" s="2" t="inlineStr">
        <is>
          <t>Emisión del listado de instalaciones</t>
        </is>
      </c>
      <c r="E3" s="2" t="inlineStr">
        <is>
          <t>CNE</t>
        </is>
      </c>
      <c r="F3" s="2" t="n"/>
      <c r="G3" s="2" t="n"/>
      <c r="H3" s="2" t="n"/>
      <c r="I3" s="2" t="n"/>
      <c r="J3" s="3" t="n">
        <v>44469</v>
      </c>
      <c r="K3" s="3" t="n">
        <v>44469</v>
      </c>
      <c r="L3" s="3" t="n"/>
      <c r="M3" s="3">
        <f>IF(ISBLANK(L3),K3,L3)</f>
        <v/>
      </c>
      <c r="N3" t="inlineStr">
        <is>
          <t>*27 meses antes del vencimiento de tarificación actual (período 2020-2023)</t>
        </is>
      </c>
    </row>
    <row r="4" ht="40.15" customHeight="1" thickBot="1">
      <c r="A4" s="2" t="n"/>
      <c r="B4" s="2" t="inlineStr">
        <is>
          <t>2024-2027</t>
        </is>
      </c>
      <c r="C4" s="2" t="inlineStr">
        <is>
          <t>Calificación</t>
        </is>
      </c>
      <c r="D4" s="2" t="inlineStr">
        <is>
          <t>Informe de calificación preliminar</t>
        </is>
      </c>
      <c r="E4" s="2" t="inlineStr">
        <is>
          <t>CNE</t>
        </is>
      </c>
      <c r="F4" s="2" t="n">
        <v>90</v>
      </c>
      <c r="G4" s="2" t="inlineStr">
        <is>
          <t>Días</t>
        </is>
      </c>
      <c r="H4" s="2" t="inlineStr">
        <is>
          <t>Corridos</t>
        </is>
      </c>
      <c r="I4" s="2" t="inlineStr">
        <is>
          <t>Emisión del listado de instalaciones</t>
        </is>
      </c>
      <c r="J4" s="3">
        <f>IF(H4="Corridos",F4+J3,WORKDAY(J3,F4,Tabla4[Fecha]))</f>
        <v/>
      </c>
      <c r="K4" s="3">
        <f>IF(H4="Corridos",F4+M3,WORKDAY(M3,F4,Tabla4[Fecha]))</f>
        <v/>
      </c>
      <c r="L4" s="3" t="n">
        <v>45275</v>
      </c>
      <c r="M4" s="3">
        <f>IF(ISBLANK(L4),K4,L4)</f>
        <v/>
      </c>
      <c r="N4" t="inlineStr">
        <is>
          <t>*Comparar fecha real de emisión/¿Qué sucede con las instalaciones que se ponen en servicio a fecha del 2025?</t>
        </is>
      </c>
    </row>
    <row r="5" ht="53.45" customHeight="1" thickBot="1">
      <c r="A5" s="2" t="n"/>
      <c r="B5" s="2" t="inlineStr">
        <is>
          <t>2024-2027</t>
        </is>
      </c>
      <c r="C5" s="2" t="inlineStr">
        <is>
          <t>Calificación</t>
        </is>
      </c>
      <c r="D5" s="2" t="inlineStr">
        <is>
          <t>Observaciones Informe de calificación preliminar</t>
        </is>
      </c>
      <c r="E5" s="2" t="inlineStr">
        <is>
          <t>Participantes</t>
        </is>
      </c>
      <c r="F5" s="2" t="n">
        <v>15</v>
      </c>
      <c r="G5" s="2" t="inlineStr">
        <is>
          <t>Días</t>
        </is>
      </c>
      <c r="H5" s="2" t="inlineStr">
        <is>
          <t>Hábiles</t>
        </is>
      </c>
      <c r="I5" s="2" t="inlineStr">
        <is>
          <t>Informe de calificación preliminar</t>
        </is>
      </c>
      <c r="J5" s="3">
        <f>IF(H5="Corridos",F5+J4,WORKDAY(J4,F5,Tabla4[Fecha]))</f>
        <v/>
      </c>
      <c r="K5" s="3">
        <f>IF(H5="Corridos",F5+M4,WORKDAY(M4,F5,Tabla4[Fecha]))</f>
        <v/>
      </c>
      <c r="L5" s="3" t="n">
        <v>45364</v>
      </c>
      <c r="M5" s="3">
        <f>IF(ISBLANK(L5),K5,L5)</f>
        <v/>
      </c>
    </row>
    <row r="6" ht="53.45" customHeight="1" thickBot="1">
      <c r="A6" s="2" t="n"/>
      <c r="B6" s="2" t="inlineStr">
        <is>
          <t>2024-2027</t>
        </is>
      </c>
      <c r="C6" s="2" t="inlineStr">
        <is>
          <t>Calificación</t>
        </is>
      </c>
      <c r="D6" s="2" t="inlineStr">
        <is>
          <t>Informe de calificación final</t>
        </is>
      </c>
      <c r="E6" s="2" t="inlineStr">
        <is>
          <t>CNE</t>
        </is>
      </c>
      <c r="F6" s="2" t="n">
        <v>15</v>
      </c>
      <c r="G6" s="2" t="inlineStr">
        <is>
          <t>Días</t>
        </is>
      </c>
      <c r="H6" s="2" t="inlineStr">
        <is>
          <t>Hábiles</t>
        </is>
      </c>
      <c r="I6" s="2" t="inlineStr">
        <is>
          <t>Observaciones Informe de calificación preliminar</t>
        </is>
      </c>
      <c r="J6" s="3">
        <f>IF(H6="Corridos",F6+J5,WORKDAY(J5,F6,Tabla4[Fecha]))</f>
        <v/>
      </c>
      <c r="K6" s="3">
        <f>IF(H6="Corridos",F6+M5,WORKDAY(M5,F6,Tabla4[Fecha]))</f>
        <v/>
      </c>
      <c r="L6" s="3" t="n">
        <v>45386</v>
      </c>
      <c r="M6" s="3">
        <f>IF(ISBLANK(L6),K6,L6)</f>
        <v/>
      </c>
    </row>
    <row r="7" ht="53.45" customHeight="1" thickBot="1">
      <c r="A7" s="2" t="n"/>
      <c r="B7" s="2" t="inlineStr">
        <is>
          <t>2024-2027</t>
        </is>
      </c>
      <c r="C7" s="2" t="inlineStr">
        <is>
          <t>Calificación</t>
        </is>
      </c>
      <c r="D7" s="2" t="inlineStr">
        <is>
          <t>Presentación Discrepancias Panel de Expertos</t>
        </is>
      </c>
      <c r="E7" s="2" t="inlineStr">
        <is>
          <t>Participantes</t>
        </is>
      </c>
      <c r="F7" s="2" t="n">
        <v>15</v>
      </c>
      <c r="G7" s="2" t="inlineStr">
        <is>
          <t>Días</t>
        </is>
      </c>
      <c r="H7" s="2" t="inlineStr">
        <is>
          <t>Hábiles</t>
        </is>
      </c>
      <c r="I7" s="2" t="inlineStr">
        <is>
          <t>Observaciones Informe de calificación preliminar</t>
        </is>
      </c>
      <c r="J7" s="3">
        <f>IF(H7="Corridos",F7+J6,WORKDAY(J6,F7,Tabla4[Fecha]))</f>
        <v/>
      </c>
      <c r="K7" s="3">
        <f>IF(H7="Corridos",F7+M6,WORKDAY(M6,F7,Tabla4[Fecha]))</f>
        <v/>
      </c>
      <c r="L7" s="3" t="n">
        <v>45407</v>
      </c>
      <c r="M7" s="3">
        <f>IF(ISBLANK(L7),K7,L7)</f>
        <v/>
      </c>
    </row>
    <row r="8" ht="53.45" customHeight="1" thickBot="1">
      <c r="A8" s="12" t="n"/>
      <c r="B8" s="12" t="inlineStr">
        <is>
          <t>2024-2027</t>
        </is>
      </c>
      <c r="C8" s="12" t="inlineStr">
        <is>
          <t>Calificación</t>
        </is>
      </c>
      <c r="D8" s="12" t="inlineStr">
        <is>
          <t>Audiencia Panel de Expertos</t>
        </is>
      </c>
      <c r="E8" s="12" t="inlineStr">
        <is>
          <t>Participantes</t>
        </is>
      </c>
      <c r="F8" s="12" t="n">
        <v>10</v>
      </c>
      <c r="G8" s="12" t="inlineStr">
        <is>
          <t>Días</t>
        </is>
      </c>
      <c r="H8" s="12" t="inlineStr">
        <is>
          <t>Hábiles</t>
        </is>
      </c>
      <c r="I8" s="12" t="inlineStr">
        <is>
          <t>Observaciones Informe de calificación preliminar</t>
        </is>
      </c>
      <c r="J8" s="3">
        <f>IF(H8="Corridos",F8+J7,WORKDAY(J7,F8,Tabla4[Fecha]))</f>
        <v/>
      </c>
      <c r="K8" s="3">
        <f>IF(H8="Corridos",F8+M7,WORKDAY(M7,F8,Tabla4[Fecha]))</f>
        <v/>
      </c>
      <c r="L8" s="13" t="n">
        <v>45448</v>
      </c>
      <c r="M8" s="3">
        <f>IF(ISBLANK(L8),K8,L8)</f>
        <v/>
      </c>
      <c r="N8" t="inlineStr">
        <is>
          <t>*30 días habiles (27 exacto para la audiencia &gt;10)</t>
        </is>
      </c>
    </row>
    <row r="9" ht="40.15" customHeight="1" thickBot="1">
      <c r="A9" s="2" t="n"/>
      <c r="B9" s="2" t="inlineStr">
        <is>
          <t>2024-2027</t>
        </is>
      </c>
      <c r="C9" s="2" t="inlineStr">
        <is>
          <t>Calificación</t>
        </is>
      </c>
      <c r="D9" s="2" t="inlineStr">
        <is>
          <t>Dictamen Panel de Expertos</t>
        </is>
      </c>
      <c r="E9" s="2" t="inlineStr">
        <is>
          <t>Panel de Expertos</t>
        </is>
      </c>
      <c r="F9" s="2" t="n">
        <v>30</v>
      </c>
      <c r="G9" s="2" t="inlineStr">
        <is>
          <t>Días</t>
        </is>
      </c>
      <c r="H9" s="2" t="inlineStr">
        <is>
          <t>Hábiles</t>
        </is>
      </c>
      <c r="I9" s="2" t="inlineStr">
        <is>
          <t>Presentación Discrepancias Panel de Expertos</t>
        </is>
      </c>
      <c r="J9" s="3">
        <f>IF(H9="Corridos",F9+J8,WORKDAY(J8,F9,Tabla4[Fecha]))</f>
        <v/>
      </c>
      <c r="K9" s="3">
        <f>IF(H9="Corridos",F9+M8,WORKDAY(M8,F9,Tabla4[Fecha]))</f>
        <v/>
      </c>
      <c r="L9" s="3" t="n">
        <v>45513</v>
      </c>
      <c r="M9" s="3">
        <f>IF(ISBLANK(L9),K9,L9)</f>
        <v/>
      </c>
      <c r="N9" t="inlineStr">
        <is>
          <t>*45 días habiles</t>
        </is>
      </c>
    </row>
    <row r="10" ht="13.15" customHeight="1"/>
    <row r="11" ht="13.15" customHeight="1"/>
    <row r="12" ht="13.15" customHeight="1"/>
    <row r="13" ht="13.15" customHeight="1"/>
    <row r="14" ht="13.15" customHeight="1">
      <c r="N14" t="inlineStr">
        <is>
          <t>*Conexión CNE/Coordinador</t>
        </is>
      </c>
    </row>
    <row r="15" ht="13.15" customHeight="1"/>
    <row r="16" ht="13.15" customHeight="1"/>
    <row r="17" ht="13.9" customHeight="1" thickBot="1">
      <c r="K17" t="inlineStr">
        <is>
          <t>***********************</t>
        </is>
      </c>
    </row>
    <row r="18" ht="27" customHeight="1" thickBot="1">
      <c r="A18" s="6" t="inlineStr">
        <is>
          <t>ID</t>
        </is>
      </c>
      <c r="B18" s="6" t="inlineStr">
        <is>
          <t>Periodo</t>
        </is>
      </c>
      <c r="C18" s="6" t="inlineStr">
        <is>
          <t>Proceso</t>
        </is>
      </c>
      <c r="D18" s="6" t="inlineStr">
        <is>
          <t>Hito / Etapa</t>
        </is>
      </c>
      <c r="E18" s="6" t="inlineStr">
        <is>
          <t>Responsable</t>
        </is>
      </c>
      <c r="F18" s="6" t="inlineStr">
        <is>
          <t>Plazo</t>
        </is>
      </c>
      <c r="G18" s="6" t="inlineStr">
        <is>
          <t>Tipo Plazo</t>
        </is>
      </c>
      <c r="H18" s="6" t="inlineStr">
        <is>
          <t>Hábiles o Corridos</t>
        </is>
      </c>
      <c r="I18" s="6" t="inlineStr">
        <is>
          <t>Gatillador</t>
        </is>
      </c>
      <c r="J18" s="6" t="inlineStr">
        <is>
          <t>Fecha_teórica</t>
        </is>
      </c>
      <c r="K18" s="6" t="inlineStr">
        <is>
          <t>Fecha Proyectada (Normativa)</t>
        </is>
      </c>
      <c r="L18" s="6" t="inlineStr">
        <is>
          <t>Fecha_Real_Manual</t>
        </is>
      </c>
      <c r="M18" s="16" t="inlineStr">
        <is>
          <t>Fecha_Vigente</t>
        </is>
      </c>
    </row>
    <row r="19" ht="27" customHeight="1" thickBot="1">
      <c r="A19" s="6" t="n"/>
      <c r="B19" s="6" t="inlineStr">
        <is>
          <t>2024-2027</t>
        </is>
      </c>
      <c r="C19" s="6" t="inlineStr">
        <is>
          <t>Valorización</t>
        </is>
      </c>
      <c r="D19" s="6" t="inlineStr">
        <is>
          <t>Bases Técnicas Preliminares</t>
        </is>
      </c>
      <c r="E19" s="6" t="inlineStr">
        <is>
          <t>Comisión</t>
        </is>
      </c>
      <c r="F19" s="6" t="n"/>
      <c r="G19" s="6" t="n"/>
      <c r="H19" s="6" t="n"/>
      <c r="I19" s="6" t="n"/>
      <c r="J19" s="7" t="n">
        <v>44561</v>
      </c>
      <c r="K19" s="7" t="n">
        <v>44561</v>
      </c>
      <c r="L19" s="17" t="n">
        <v>44561</v>
      </c>
      <c r="M19" s="81">
        <f>IF(ISBLANK(L19),K19,L19)</f>
        <v/>
      </c>
    </row>
    <row r="20" ht="40.15" customHeight="1" thickBot="1">
      <c r="A20" s="6" t="n"/>
      <c r="B20" s="6" t="inlineStr">
        <is>
          <t>2024-2027</t>
        </is>
      </c>
      <c r="C20" s="6" t="inlineStr">
        <is>
          <t>Valorización</t>
        </is>
      </c>
      <c r="D20" s="6" t="inlineStr">
        <is>
          <t>Observaciones de Bases Técnicas Preliminares</t>
        </is>
      </c>
      <c r="E20" s="6" t="inlineStr">
        <is>
          <t>Comisión</t>
        </is>
      </c>
      <c r="F20" s="6" t="n">
        <v>15</v>
      </c>
      <c r="G20" s="6" t="inlineStr">
        <is>
          <t>Días</t>
        </is>
      </c>
      <c r="H20" s="6" t="inlineStr">
        <is>
          <t>Hábiles</t>
        </is>
      </c>
      <c r="I20" s="6" t="inlineStr">
        <is>
          <t>Bases Técnicas Preliminares</t>
        </is>
      </c>
      <c r="J20" s="7">
        <f>IF(H20="Corridos",F20+J19,WORKDAY(J19,F20,Tabla4[Fecha]))</f>
        <v/>
      </c>
      <c r="K20" s="7">
        <f>IF(H20="Corridos",F20+M19,WORKDAY(M19,F20,Tabla4[Fecha]))</f>
        <v/>
      </c>
      <c r="L20" s="17" t="n">
        <v>44677</v>
      </c>
      <c r="M20" s="82">
        <f>IF(ISBLANK(L20),K20,L20)</f>
        <v/>
      </c>
      <c r="N20" t="inlineStr">
        <is>
          <t>*81 días hábiles</t>
        </is>
      </c>
    </row>
    <row r="21" ht="27" customHeight="1" thickBot="1">
      <c r="A21" s="6" t="n"/>
      <c r="B21" s="6" t="inlineStr">
        <is>
          <t>2024-2027</t>
        </is>
      </c>
      <c r="C21" s="6" t="inlineStr">
        <is>
          <t>Valorización</t>
        </is>
      </c>
      <c r="D21" s="6" t="inlineStr">
        <is>
          <t>Bases Técnicas Definitivas</t>
        </is>
      </c>
      <c r="E21" s="6" t="inlineStr">
        <is>
          <t>Comisión</t>
        </is>
      </c>
      <c r="F21" s="6" t="n">
        <v>15</v>
      </c>
      <c r="G21" s="6" t="inlineStr">
        <is>
          <t>Días</t>
        </is>
      </c>
      <c r="H21" s="6" t="inlineStr">
        <is>
          <t>Hábiles</t>
        </is>
      </c>
      <c r="I21" s="6" t="inlineStr">
        <is>
          <t>Dictamen Panel de Expertos</t>
        </is>
      </c>
      <c r="J21" s="13">
        <f>IF(H21="Corridos",F21+J20,WORKDAY(J20,F21,Tabla4[Fecha]))</f>
        <v/>
      </c>
      <c r="K21" s="7">
        <f>IF(H21="Corridos",F21+M20,WORKDAY(M20,F21,Tabla4[Fecha]))</f>
        <v/>
      </c>
      <c r="L21" s="17" t="n">
        <v>44677</v>
      </c>
      <c r="M21" s="82">
        <f>IF(ISBLANK(L21),K21,L21)</f>
        <v/>
      </c>
      <c r="N21" t="inlineStr">
        <is>
          <t>*Se reiteran el 2024/Puede deberse al no cierre del proceso anterior</t>
        </is>
      </c>
    </row>
    <row r="22" ht="27" customHeight="1" thickBot="1">
      <c r="A22" s="6" t="n"/>
      <c r="B22" s="6" t="inlineStr">
        <is>
          <t>2024-2027</t>
        </is>
      </c>
      <c r="C22" s="6" t="inlineStr">
        <is>
          <t>Valorización</t>
        </is>
      </c>
      <c r="D22" s="6" t="inlineStr">
        <is>
          <t>Presentación de Discrepancias</t>
        </is>
      </c>
      <c r="E22" s="6" t="inlineStr">
        <is>
          <t>Participantes</t>
        </is>
      </c>
      <c r="F22" s="6" t="n">
        <v>10</v>
      </c>
      <c r="G22" s="6" t="inlineStr">
        <is>
          <t>Días</t>
        </is>
      </c>
      <c r="H22" s="6" t="inlineStr">
        <is>
          <t>Hábiles</t>
        </is>
      </c>
      <c r="I22" s="6" t="inlineStr">
        <is>
          <t>Bases Técnicas Definitivas</t>
        </is>
      </c>
      <c r="J22" s="7">
        <f>IF(H22="Corridos",F22+J21,WORKDAY(J21,F22,Tabla4[Fecha]))</f>
        <v/>
      </c>
      <c r="K22" s="7">
        <f>IF(H22="Corridos",F22+M21,WORKDAY(M21,F22,Tabla4[Fecha]))</f>
        <v/>
      </c>
      <c r="L22" s="78" t="n">
        <v>44743</v>
      </c>
      <c r="M22" s="82">
        <f>IF(ISBLANK(L22),K22,L22)</f>
        <v/>
      </c>
      <c r="N22" t="inlineStr">
        <is>
          <t>*Existe 1 Dicrepancia/ 31 días habiles?</t>
        </is>
      </c>
    </row>
    <row r="23" ht="27" customHeight="1" thickBot="1">
      <c r="A23" s="6" t="n"/>
      <c r="B23" s="6" t="inlineStr">
        <is>
          <t>2024-2027</t>
        </is>
      </c>
      <c r="C23" s="6" t="inlineStr">
        <is>
          <t>Valorización</t>
        </is>
      </c>
      <c r="D23" s="6" t="inlineStr">
        <is>
          <t>Audiencia Panel de Expertos</t>
        </is>
      </c>
      <c r="E23" s="6" t="inlineStr">
        <is>
          <t>Panel de Expertos</t>
        </is>
      </c>
      <c r="F23" s="6" t="n">
        <v>10</v>
      </c>
      <c r="G23" s="6" t="inlineStr">
        <is>
          <t>Días</t>
        </is>
      </c>
      <c r="H23" s="6" t="inlineStr">
        <is>
          <t>Hábiles</t>
        </is>
      </c>
      <c r="I23" s="6" t="inlineStr">
        <is>
          <t>Bases Técnicas Definitivas</t>
        </is>
      </c>
      <c r="J23" s="7">
        <f>IF(H23="Corridos",F23+J22,WORKDAY(J22,F23,Tabla4[Fecha]))</f>
        <v/>
      </c>
      <c r="K23" s="7">
        <f>IF(H23="Corridos",F23+M22,WORKDAY(M22,F23,Tabla4[Fecha]))</f>
        <v/>
      </c>
      <c r="L23" s="17" t="n">
        <v>44757</v>
      </c>
      <c r="M23" s="82">
        <f>IF(ISBLANK(L23),K23,L23)</f>
        <v/>
      </c>
    </row>
    <row r="24" ht="27" customHeight="1" thickBot="1">
      <c r="A24" s="6" t="n"/>
      <c r="B24" s="6" t="inlineStr">
        <is>
          <t>2024-2027</t>
        </is>
      </c>
      <c r="C24" s="6" t="inlineStr">
        <is>
          <t>Valorización</t>
        </is>
      </c>
      <c r="D24" s="6" t="inlineStr">
        <is>
          <t>Dictamen Panel de Expertos</t>
        </is>
      </c>
      <c r="E24" s="6" t="inlineStr">
        <is>
          <t>Panel de Expertos</t>
        </is>
      </c>
      <c r="F24" s="6" t="n">
        <v>30</v>
      </c>
      <c r="G24" s="6" t="inlineStr">
        <is>
          <t>Días</t>
        </is>
      </c>
      <c r="H24" s="6" t="inlineStr">
        <is>
          <t>Hábiles</t>
        </is>
      </c>
      <c r="I24" s="6" t="inlineStr">
        <is>
          <t>Presentación de Discrepancias</t>
        </is>
      </c>
      <c r="J24" s="7">
        <f>IF(H24="Corridos",F24+J23,WORKDAY(J23,F24,Tabla4[Fecha]))</f>
        <v/>
      </c>
      <c r="K24" s="7">
        <f>IF(H24="Corridos",F24+M23,WORKDAY(M23,F24,Tabla4[Fecha]))</f>
        <v/>
      </c>
      <c r="L24" s="17" t="n">
        <v>44825</v>
      </c>
      <c r="M24" s="82">
        <f>IF(ISBLANK(L24),K24,L24)</f>
        <v/>
      </c>
      <c r="N24" t="inlineStr">
        <is>
          <t>*45 días hábiles para dictamen</t>
        </is>
      </c>
    </row>
    <row r="25" ht="40.15" customHeight="1" thickBot="1">
      <c r="A25" s="6" t="n"/>
      <c r="B25" s="6" t="inlineStr">
        <is>
          <t>2024-2027</t>
        </is>
      </c>
      <c r="C25" s="6" t="inlineStr">
        <is>
          <t>Valorización</t>
        </is>
      </c>
      <c r="D25" s="6" t="inlineStr">
        <is>
          <t>Resolución Bases Técnicas Definitivas</t>
        </is>
      </c>
      <c r="E25" s="6" t="inlineStr">
        <is>
          <t>Comisión</t>
        </is>
      </c>
      <c r="F25" s="6" t="n">
        <v>15</v>
      </c>
      <c r="G25" s="6" t="inlineStr">
        <is>
          <t>Días</t>
        </is>
      </c>
      <c r="H25" s="6" t="inlineStr">
        <is>
          <t>Hábiles</t>
        </is>
      </c>
      <c r="I25" s="6" t="inlineStr">
        <is>
          <t>Dictamen Panel de Expertos</t>
        </is>
      </c>
      <c r="J25" s="7">
        <f>IF(H25="Corridos",F25+J24,WORKDAY(J24,F25,Tabla4[Fecha]))</f>
        <v/>
      </c>
      <c r="K25" s="7">
        <f>IF(H25="Corridos",F25+M24,WORKDAY(M24,F25,Tabla4[Fecha]))</f>
        <v/>
      </c>
      <c r="L25" s="17" t="n">
        <v>45534</v>
      </c>
      <c r="M25" s="82">
        <f>IF(ISBLANK(L25),K25,L25)</f>
        <v/>
      </c>
    </row>
    <row r="26" ht="27" customHeight="1" thickBot="1">
      <c r="A26" s="6" t="n"/>
      <c r="B26" s="6" t="inlineStr">
        <is>
          <t>2024-2027</t>
        </is>
      </c>
      <c r="C26" s="6" t="inlineStr">
        <is>
          <t>Valorización</t>
        </is>
      </c>
      <c r="D26" s="6" t="inlineStr">
        <is>
          <t>Llamado a licitación pública</t>
        </is>
      </c>
      <c r="E26" s="6" t="inlineStr">
        <is>
          <t>Comisión</t>
        </is>
      </c>
      <c r="F26" s="6" t="n">
        <v>15</v>
      </c>
      <c r="G26" s="6" t="inlineStr">
        <is>
          <t>Días</t>
        </is>
      </c>
      <c r="H26" s="6" t="inlineStr">
        <is>
          <t>Hábiles</t>
        </is>
      </c>
      <c r="I26" s="6" t="inlineStr">
        <is>
          <t>Bases Técnicas Definitivas</t>
        </is>
      </c>
      <c r="J26" s="7">
        <f>IF(H26="Corridos",F26+J24,WORKDAY(J24,F26,Tabla4[Fecha]))</f>
        <v/>
      </c>
      <c r="K26" s="7">
        <f>IF(H26="Corridos",F26+M24,WORKDAY(M24,F26,Tabla4[Fecha]))</f>
        <v/>
      </c>
      <c r="L26" s="17" t="n">
        <v>45534</v>
      </c>
      <c r="M26" s="82">
        <f>IF(ISBLANK(L26),K26,L26)</f>
        <v/>
      </c>
    </row>
    <row r="27" ht="27" customHeight="1" thickBot="1">
      <c r="A27" s="6" t="n">
        <v>2</v>
      </c>
      <c r="B27" s="6" t="inlineStr">
        <is>
          <t>2024-2027</t>
        </is>
      </c>
      <c r="C27" s="6" t="inlineStr">
        <is>
          <t>Valorización</t>
        </is>
      </c>
      <c r="D27" s="6" t="inlineStr">
        <is>
          <t>Primera sesión comisión</t>
        </is>
      </c>
      <c r="E27" s="6" t="inlineStr">
        <is>
          <t>Comisión</t>
        </is>
      </c>
      <c r="F27" s="6" t="n">
        <v>10</v>
      </c>
      <c r="G27" s="6" t="inlineStr">
        <is>
          <t>Días</t>
        </is>
      </c>
      <c r="H27" s="6" t="inlineStr">
        <is>
          <t>Hábiles</t>
        </is>
      </c>
      <c r="I27" s="6" t="inlineStr">
        <is>
          <t>Bases Técnicas Definitivas</t>
        </is>
      </c>
      <c r="J27" s="7">
        <f>IF(H27="Corridos",F27+J26,WORKDAY(J26,F27,Tabla4[Fecha]))</f>
        <v/>
      </c>
      <c r="K27" s="7">
        <f>IF(H27="Corridos",F27+K26,WORKDAY(K26,F27,Tabla4[Fecha]))</f>
        <v/>
      </c>
      <c r="L27" s="17" t="n">
        <v>45559</v>
      </c>
      <c r="M27" s="82">
        <f>IF(ISBLANK(L27),K27,L27)</f>
        <v/>
      </c>
      <c r="N27" t="inlineStr">
        <is>
          <t>*14 días desde resolución de bases técnicas definitivas</t>
        </is>
      </c>
    </row>
    <row r="28" ht="27" customHeight="1" thickBot="1">
      <c r="A28" s="14" t="n">
        <v>3</v>
      </c>
      <c r="B28" s="14" t="inlineStr">
        <is>
          <t>2024-2027</t>
        </is>
      </c>
      <c r="C28" s="14" t="inlineStr">
        <is>
          <t>Valorización</t>
        </is>
      </c>
      <c r="D28" s="14" t="inlineStr">
        <is>
          <t>Adjudicación / Contrato (Zonal)</t>
        </is>
      </c>
      <c r="E28" s="14" t="inlineStr">
        <is>
          <t>Comisión</t>
        </is>
      </c>
      <c r="F28" s="14" t="n">
        <v>90</v>
      </c>
      <c r="G28" s="14" t="inlineStr">
        <is>
          <t>Días</t>
        </is>
      </c>
      <c r="H28" s="14" t="inlineStr">
        <is>
          <t>Hábiles</t>
        </is>
      </c>
      <c r="I28" s="14" t="inlineStr">
        <is>
          <t>Llamado a licitación pública</t>
        </is>
      </c>
      <c r="J28" s="15">
        <f>IF(H28="Corridos",F28+J26,WORKDAY(J26,F28,Tabla4[Fecha]))</f>
        <v/>
      </c>
      <c r="K28" s="15">
        <f>IF(H28="Corridos",F28+M26,WORKDAY(M26,F28,Tabla4[Fecha]))</f>
        <v/>
      </c>
      <c r="L28" s="40" t="n">
        <v>45645</v>
      </c>
      <c r="M28" s="82">
        <f>IF(ISBLANK(L28),K28,L28)</f>
        <v/>
      </c>
      <c r="N28" t="inlineStr">
        <is>
          <t>*3 meses contados</t>
        </is>
      </c>
    </row>
    <row r="29" ht="27" customHeight="1" thickBot="1">
      <c r="A29" s="14" t="n">
        <v>3</v>
      </c>
      <c r="B29" s="14" t="inlineStr">
        <is>
          <t>2024-2027</t>
        </is>
      </c>
      <c r="C29" s="14" t="inlineStr">
        <is>
          <t>Valorización</t>
        </is>
      </c>
      <c r="D29" s="14" t="inlineStr">
        <is>
          <t>Inicio de Estudio Zonal</t>
        </is>
      </c>
      <c r="E29" s="14" t="inlineStr">
        <is>
          <t>Consultor</t>
        </is>
      </c>
      <c r="F29" s="14" t="n">
        <v>20</v>
      </c>
      <c r="G29" s="14" t="inlineStr">
        <is>
          <t>Días</t>
        </is>
      </c>
      <c r="H29" s="14" t="inlineStr">
        <is>
          <t>Hábiles</t>
        </is>
      </c>
      <c r="I29" s="14" t="inlineStr">
        <is>
          <t>Adjudicación / Contrato (Zonal)</t>
        </is>
      </c>
      <c r="J29" s="15">
        <f>IF(H29="Corridos",F29+J28,WORKDAY(J28,F29,Tabla4[Fecha]))</f>
        <v/>
      </c>
      <c r="K29" s="15">
        <f>IF(H29="Corridos",F29+M28,WORKDAY(M28,F29,Tabla4[Fecha]))</f>
        <v/>
      </c>
      <c r="L29" s="40" t="n">
        <v>45645</v>
      </c>
      <c r="M29" s="82">
        <f>IF(ISBLANK(L29),K29,L29)</f>
        <v/>
      </c>
    </row>
    <row r="30" ht="27" customHeight="1" thickBot="1">
      <c r="A30" s="14" t="n">
        <v>4</v>
      </c>
      <c r="B30" s="14" t="inlineStr">
        <is>
          <t>2024-2027</t>
        </is>
      </c>
      <c r="C30" s="14" t="inlineStr">
        <is>
          <t>Valorización</t>
        </is>
      </c>
      <c r="D30" s="14" t="inlineStr">
        <is>
          <t>Entrega Informe Avance 1 (Zonal)</t>
        </is>
      </c>
      <c r="E30" s="14" t="inlineStr">
        <is>
          <t>Consultor</t>
        </is>
      </c>
      <c r="F30" s="14" t="n">
        <v>50</v>
      </c>
      <c r="G30" s="14" t="inlineStr">
        <is>
          <t>Dias</t>
        </is>
      </c>
      <c r="H30" s="14" t="inlineStr">
        <is>
          <t>Corridos</t>
        </is>
      </c>
      <c r="I30" s="14" t="inlineStr">
        <is>
          <t>Inicio de Estudio Zonal</t>
        </is>
      </c>
      <c r="J30" s="15">
        <f>IF(H30="Corridos",F30+J29,WORKDAY(J29,F30,Tabla4[Fecha]))</f>
        <v/>
      </c>
      <c r="K30" s="15">
        <f>IF(H30="Corridos",F30+M29,WORKDAY(M29,F30,Tabla4[Fecha]))</f>
        <v/>
      </c>
      <c r="L30" s="40" t="n">
        <v>45695</v>
      </c>
      <c r="M30" s="82">
        <f>IF(ISBLANK(L30),K30,L30)</f>
        <v/>
      </c>
      <c r="N30" t="inlineStr">
        <is>
          <t>*Dias corridos</t>
        </is>
      </c>
    </row>
    <row r="31" ht="40.15" customHeight="1" thickBot="1">
      <c r="A31" s="14" t="n">
        <v>5</v>
      </c>
      <c r="B31" s="14" t="inlineStr">
        <is>
          <t>2024-2027</t>
        </is>
      </c>
      <c r="C31" s="14" t="inlineStr">
        <is>
          <t>Valorización</t>
        </is>
      </c>
      <c r="D31" s="14" t="inlineStr">
        <is>
          <t>Observaciones Informe Avance 1 (Zonal)</t>
        </is>
      </c>
      <c r="E31" s="14" t="inlineStr">
        <is>
          <t>Participantes e interesados</t>
        </is>
      </c>
      <c r="F31" s="14" t="n">
        <v>15</v>
      </c>
      <c r="G31" s="14" t="inlineStr">
        <is>
          <t>Dias</t>
        </is>
      </c>
      <c r="H31" s="14" t="inlineStr">
        <is>
          <t>Hábiles</t>
        </is>
      </c>
      <c r="I31" s="19" t="n"/>
      <c r="J31" s="15">
        <f>IF(H31="Corridos",F31+J30,WORKDAY(J30,F31,Tabla4[Fecha]))</f>
        <v/>
      </c>
      <c r="K31" s="15">
        <f>IF(H31="Corridos",F31+M30,WORKDAY(M30,F31,Tabla4[Fecha]))</f>
        <v/>
      </c>
      <c r="L31" s="40" t="n">
        <v>45734</v>
      </c>
      <c r="M31" s="82">
        <f>IF(ISBLANK(L31),K31,L31)</f>
        <v/>
      </c>
      <c r="N31" t="inlineStr">
        <is>
          <t>*Dias habiles</t>
        </is>
      </c>
    </row>
    <row r="32" ht="40.15" customHeight="1" thickBot="1">
      <c r="A32" s="28" t="n">
        <v>6</v>
      </c>
      <c r="B32" s="28" t="inlineStr">
        <is>
          <t>2024-2027</t>
        </is>
      </c>
      <c r="C32" s="28" t="inlineStr">
        <is>
          <t>Valorización</t>
        </is>
      </c>
      <c r="D32" s="28" t="inlineStr">
        <is>
          <t>Entrega Informe Avance 1 V2 (Zonal)</t>
        </is>
      </c>
      <c r="E32" s="28" t="inlineStr">
        <is>
          <t>Consultor</t>
        </is>
      </c>
      <c r="F32" s="28" t="n">
        <v>4</v>
      </c>
      <c r="G32" s="28" t="inlineStr">
        <is>
          <t>Dias</t>
        </is>
      </c>
      <c r="H32" s="28" t="inlineStr">
        <is>
          <t>Hábiles</t>
        </is>
      </c>
      <c r="I32" s="29" t="n"/>
      <c r="J32" s="15">
        <f>IF(H32="Corridos",F32+J31,WORKDAY(J31,F32,Tabla4[Fecha]))</f>
        <v/>
      </c>
      <c r="K32" s="15">
        <f>IF(H32="Corridos",F32+M31,WORKDAY(M31,F32,Tabla4[Fecha]))</f>
        <v/>
      </c>
      <c r="L32" s="79" t="n">
        <v>45740</v>
      </c>
      <c r="M32" s="82">
        <f>IF(ISBLANK(L32),K32,L32)</f>
        <v/>
      </c>
      <c r="N32" t="inlineStr">
        <is>
          <t>*5 días contados</t>
        </is>
      </c>
    </row>
    <row r="33" ht="40.15" customHeight="1" thickBot="1">
      <c r="A33" s="14" t="n">
        <v>7</v>
      </c>
      <c r="B33" s="14" t="inlineStr">
        <is>
          <t>2024-2027</t>
        </is>
      </c>
      <c r="C33" s="14" t="inlineStr">
        <is>
          <t>Valorización</t>
        </is>
      </c>
      <c r="D33" s="14" t="inlineStr">
        <is>
          <t>Observaciones Informe Avance 1 V2 (Zonal)</t>
        </is>
      </c>
      <c r="E33" s="14" t="inlineStr">
        <is>
          <t>Participantes e interesados</t>
        </is>
      </c>
      <c r="F33" s="14" t="n">
        <v>3</v>
      </c>
      <c r="G33" s="14" t="inlineStr">
        <is>
          <t>Dias</t>
        </is>
      </c>
      <c r="H33" s="14" t="inlineStr">
        <is>
          <t>Hábiles</t>
        </is>
      </c>
      <c r="I33" s="19" t="n"/>
      <c r="J33" s="15">
        <f>IF(H33="Corridos",F33+J32,WORKDAY(J32,F33,Tabla4[Fecha]))</f>
        <v/>
      </c>
      <c r="K33" s="15">
        <f>IF(H33="Corridos",F33+M32,WORKDAY(M32,F33,Tabla4[Fecha]))</f>
        <v/>
      </c>
      <c r="L33" s="40" t="n">
        <v>45743</v>
      </c>
      <c r="M33" s="82">
        <f>IF(ISBLANK(L33),K33,L33)</f>
        <v/>
      </c>
    </row>
    <row r="34" ht="27" customHeight="1" thickBot="1">
      <c r="A34" s="28" t="n">
        <v>8</v>
      </c>
      <c r="B34" s="28" t="inlineStr">
        <is>
          <t>2024-2027</t>
        </is>
      </c>
      <c r="C34" s="28" t="inlineStr">
        <is>
          <t>Valorización</t>
        </is>
      </c>
      <c r="D34" s="28" t="inlineStr">
        <is>
          <t xml:space="preserve"> Informe Avance 1 V3 (Zonal)</t>
        </is>
      </c>
      <c r="E34" s="28" t="inlineStr">
        <is>
          <t>Consultor</t>
        </is>
      </c>
      <c r="F34" s="28" t="n">
        <v>5</v>
      </c>
      <c r="G34" s="28" t="inlineStr">
        <is>
          <t>Dias</t>
        </is>
      </c>
      <c r="H34" s="14" t="inlineStr">
        <is>
          <t>Hábiles</t>
        </is>
      </c>
      <c r="I34" s="29" t="n"/>
      <c r="J34" s="15">
        <f>IF(H34="Corridos",F34+J33,WORKDAY(J33,F34,Tabla4[Fecha]))</f>
        <v/>
      </c>
      <c r="K34" s="15">
        <f>IF(H34="Corridos",F34+M33,WORKDAY(M33,F34,Tabla4[Fecha]))</f>
        <v/>
      </c>
      <c r="L34" s="79" t="n">
        <v>45772</v>
      </c>
      <c r="M34" s="82">
        <f>IF(ISBLANK(L34),K34,L34)</f>
        <v/>
      </c>
      <c r="N34" t="inlineStr">
        <is>
          <t>*5 días contados ideal/ realidad de 20 días habiles</t>
        </is>
      </c>
    </row>
    <row r="35" ht="40.15" customHeight="1" thickBot="1">
      <c r="A35" s="30" t="n">
        <v>9</v>
      </c>
      <c r="B35" s="30" t="inlineStr">
        <is>
          <t>2024-2027</t>
        </is>
      </c>
      <c r="C35" s="30" t="inlineStr">
        <is>
          <t>Valorización</t>
        </is>
      </c>
      <c r="D35" s="30" t="inlineStr">
        <is>
          <t>Observaciones Informe Avance 1 V3 (Zonal)</t>
        </is>
      </c>
      <c r="E35" s="30" t="inlineStr">
        <is>
          <t>Participantes e interesados</t>
        </is>
      </c>
      <c r="F35" s="30" t="n">
        <v>15</v>
      </c>
      <c r="G35" s="30" t="inlineStr">
        <is>
          <t>Dias</t>
        </is>
      </c>
      <c r="H35" s="30" t="inlineStr">
        <is>
          <t>Hábiles</t>
        </is>
      </c>
      <c r="I35" s="31" t="n"/>
      <c r="J35" s="32">
        <f>IF(H35="Corridos",F35+J34,WORKDAY(J34,F35,Tabla4[Fecha]))</f>
        <v/>
      </c>
      <c r="K35" s="32">
        <f>IF(H35="Corridos",F35+M29,WORKDAY(M29,F35,Tabla4[Fecha]))</f>
        <v/>
      </c>
      <c r="L35" s="80" t="n">
        <v>45793</v>
      </c>
      <c r="M35" s="82">
        <f>IF(ISBLANK(L35),K35,L35)</f>
        <v/>
      </c>
      <c r="N35" t="inlineStr">
        <is>
          <t>*Se pide V3 en 5 días hábiles en caso de no cumplir por parte del consultor</t>
        </is>
      </c>
    </row>
    <row r="36" ht="27" customHeight="1" thickBot="1">
      <c r="A36" s="14" t="n">
        <v>10</v>
      </c>
      <c r="B36" s="14" t="inlineStr">
        <is>
          <t>2024-2027</t>
        </is>
      </c>
      <c r="C36" s="14" t="inlineStr">
        <is>
          <t>Valorización</t>
        </is>
      </c>
      <c r="D36" s="14" t="inlineStr">
        <is>
          <t>Informe Avance 2 (Zonal)</t>
        </is>
      </c>
      <c r="E36" s="14" t="inlineStr">
        <is>
          <t>Consultor</t>
        </is>
      </c>
      <c r="F36" s="14" t="n">
        <v>130</v>
      </c>
      <c r="G36" s="14" t="inlineStr">
        <is>
          <t>Dias</t>
        </is>
      </c>
      <c r="H36" s="14" t="inlineStr">
        <is>
          <t>Corridos</t>
        </is>
      </c>
      <c r="I36" s="19" t="n"/>
      <c r="J36" s="32">
        <f>IF(H36="Corridos",F36+J29,WORKDAY(J29,F36,Tabla4[Fecha]))</f>
        <v/>
      </c>
      <c r="K36" s="32">
        <f>IF(H36="Corridos",F36+M30,WORKDAY(M30,F36,Tabla4[Fecha]))</f>
        <v/>
      </c>
      <c r="L36" s="40" t="n">
        <v>46052</v>
      </c>
      <c r="M36" s="82">
        <f>IF(ISBLANK(L36),K36,L36)</f>
        <v/>
      </c>
      <c r="N36" s="4" t="inlineStr">
        <is>
          <t>*Tres extensiones de plazo</t>
        </is>
      </c>
    </row>
    <row r="37" ht="40.15" customHeight="1" thickBot="1">
      <c r="A37" s="14" t="n">
        <v>11</v>
      </c>
      <c r="B37" s="14" t="inlineStr">
        <is>
          <t>2024-2027</t>
        </is>
      </c>
      <c r="C37" s="14" t="inlineStr">
        <is>
          <t>Valorización</t>
        </is>
      </c>
      <c r="D37" s="14" t="inlineStr">
        <is>
          <t>Observaciones Informe Avance 2 (Zonal)</t>
        </is>
      </c>
      <c r="E37" s="14" t="inlineStr">
        <is>
          <t>Participantes e interesados</t>
        </is>
      </c>
      <c r="F37" s="14" t="n">
        <v>15</v>
      </c>
      <c r="G37" s="14" t="inlineStr">
        <is>
          <t>Dias</t>
        </is>
      </c>
      <c r="H37" s="14" t="inlineStr">
        <is>
          <t>Hábiles</t>
        </is>
      </c>
      <c r="I37" s="19" t="n"/>
      <c r="J37" s="32">
        <f>IF(H37="Corridos",F37+J36,WORKDAY(J36,F37,Tabla4[Fecha]))</f>
        <v/>
      </c>
      <c r="K37" s="15">
        <f>IF(H37="Corridos",F37+M36,WORKDAY(M36,F37,Tabla4[Fecha]))</f>
        <v/>
      </c>
      <c r="L37" s="40" t="n"/>
      <c r="M37" s="82">
        <f>IF(ISBLANK(L37),K37,L37)</f>
        <v/>
      </c>
      <c r="N37" s="4" t="inlineStr">
        <is>
          <t>*Existencia de nuevas versiones con sus respectivas observaciones</t>
        </is>
      </c>
    </row>
    <row r="38" ht="27" customHeight="1" thickBot="1">
      <c r="A38" s="14" t="n"/>
      <c r="B38" s="14" t="inlineStr">
        <is>
          <t>2024-2027</t>
        </is>
      </c>
      <c r="C38" s="14" t="inlineStr">
        <is>
          <t>Valorización</t>
        </is>
      </c>
      <c r="D38" s="14" t="inlineStr">
        <is>
          <t>Informe Preliminar (Zonal)</t>
        </is>
      </c>
      <c r="E38" s="14" t="inlineStr">
        <is>
          <t>Consultor</t>
        </is>
      </c>
      <c r="F38" s="14" t="n">
        <v>180</v>
      </c>
      <c r="G38" s="14" t="inlineStr">
        <is>
          <t>Dias</t>
        </is>
      </c>
      <c r="H38" s="14" t="inlineStr">
        <is>
          <t>Corridos</t>
        </is>
      </c>
      <c r="I38" s="19" t="n"/>
      <c r="J38" s="32">
        <f>IF(H38="Corridos",F38+J29,WORKDAY(J29,F38,Tabla4[Fecha]))</f>
        <v/>
      </c>
      <c r="K38" s="15">
        <f>IF(H38="Corridos",F38+M29,WORKDAY(M29,F38,Tabla4[Fecha]))</f>
        <v/>
      </c>
      <c r="L38" s="40" t="n">
        <v>46104</v>
      </c>
      <c r="M38" s="82">
        <f>IF(ISBLANK(L38),K38,L38)</f>
        <v/>
      </c>
      <c r="N38" t="inlineStr">
        <is>
          <t>*20 días habiles</t>
        </is>
      </c>
      <c r="O38" t="inlineStr">
        <is>
          <t>*30 días corridos</t>
        </is>
      </c>
    </row>
    <row r="39" ht="40.15" customHeight="1" thickBot="1">
      <c r="A39" s="14" t="n"/>
      <c r="B39" s="14" t="inlineStr">
        <is>
          <t>2024-2027</t>
        </is>
      </c>
      <c r="C39" s="14" t="inlineStr">
        <is>
          <t>Valorización</t>
        </is>
      </c>
      <c r="D39" s="14" t="inlineStr">
        <is>
          <t>Observaciones Informe Preliminar (Zonal)</t>
        </is>
      </c>
      <c r="E39" s="14" t="inlineStr">
        <is>
          <t>Participantes e interesados</t>
        </is>
      </c>
      <c r="F39" s="14" t="n">
        <v>15</v>
      </c>
      <c r="G39" s="14" t="inlineStr">
        <is>
          <t>Dias</t>
        </is>
      </c>
      <c r="H39" s="14" t="inlineStr">
        <is>
          <t>Hábiles</t>
        </is>
      </c>
      <c r="I39" s="19" t="n"/>
      <c r="J39" s="32">
        <f>IF(H39="Corridos",F39+J38,WORKDAY(J38,F39,Tabla4[Fecha]))</f>
        <v/>
      </c>
      <c r="K39" s="15">
        <f>IF(H39="Corridos",F39+M38,WORKDAY(M38,F39,Tabla4[Fecha]))</f>
        <v/>
      </c>
      <c r="L39" s="40" t="n"/>
      <c r="M39" s="82">
        <f>IF(ISBLANK(L39),K39,L39)</f>
        <v/>
      </c>
    </row>
    <row r="40" ht="27" customHeight="1" thickBot="1">
      <c r="A40" s="14" t="n"/>
      <c r="B40" s="14" t="inlineStr">
        <is>
          <t>2024-2027</t>
        </is>
      </c>
      <c r="C40" s="14" t="inlineStr">
        <is>
          <t>Valorización</t>
        </is>
      </c>
      <c r="D40" s="14" t="inlineStr">
        <is>
          <t>Informe Final (Zonal)</t>
        </is>
      </c>
      <c r="E40" s="14" t="inlineStr">
        <is>
          <t>Consultor</t>
        </is>
      </c>
      <c r="F40" s="14" t="n">
        <v>220</v>
      </c>
      <c r="G40" s="14" t="inlineStr">
        <is>
          <t>Dias</t>
        </is>
      </c>
      <c r="H40" s="14" t="inlineStr">
        <is>
          <t>Corridos</t>
        </is>
      </c>
      <c r="I40" s="19" t="n"/>
      <c r="J40" s="32">
        <f>IF(H40="Corridos",F40+J29,WORKDAY(J29,F40,Tabla4[Fecha]))</f>
        <v/>
      </c>
      <c r="K40" s="15">
        <f>IF(H40="Corridos",F40+M29,WORKDAY(M29,F40,Tabla4[Fecha]))</f>
        <v/>
      </c>
      <c r="L40" s="40" t="n">
        <v>46142</v>
      </c>
      <c r="M40" s="82">
        <f>IF(ISBLANK(L40),K40,L40)</f>
        <v/>
      </c>
      <c r="N40" t="inlineStr">
        <is>
          <t>*Omisión de los periodos establecidos dado contexto de retrasos</t>
        </is>
      </c>
    </row>
    <row r="41" ht="40.15" customHeight="1" thickBot="1">
      <c r="A41" s="14" t="n"/>
      <c r="B41" s="14" t="inlineStr">
        <is>
          <t>2024-2027</t>
        </is>
      </c>
      <c r="C41" s="14" t="inlineStr">
        <is>
          <t>Valorización</t>
        </is>
      </c>
      <c r="D41" s="14" t="inlineStr">
        <is>
          <t>Observaciones Informe Final (Zonal)</t>
        </is>
      </c>
      <c r="E41" s="14" t="inlineStr">
        <is>
          <t>Participantes e interesados</t>
        </is>
      </c>
      <c r="F41" s="14" t="n">
        <v>10</v>
      </c>
      <c r="G41" s="14" t="inlineStr">
        <is>
          <t>Dias</t>
        </is>
      </c>
      <c r="H41" s="14" t="inlineStr">
        <is>
          <t>Hábiles</t>
        </is>
      </c>
      <c r="I41" s="19" t="n"/>
      <c r="J41" s="32">
        <f>IF(H41="Corridos",F41+J40,WORKDAY(J40,F41,Tabla4[Fecha]))</f>
        <v/>
      </c>
      <c r="K41" s="15">
        <f>IF(H41="Corridos",F41+M40,WORKDAY(M40,F41,Tabla4[Fecha]))</f>
        <v/>
      </c>
      <c r="L41" s="40" t="n"/>
      <c r="M41" s="82">
        <f>IF(ISBLANK(L41),K41,L41)</f>
        <v/>
      </c>
    </row>
    <row r="42" ht="52.9" customHeight="1" thickBot="1">
      <c r="A42" s="14" t="n"/>
      <c r="B42" s="14" t="inlineStr">
        <is>
          <t>2024-2027</t>
        </is>
      </c>
      <c r="C42" s="14" t="inlineStr">
        <is>
          <t>Valorización</t>
        </is>
      </c>
      <c r="D42" s="14" t="inlineStr">
        <is>
          <t>Informe Definitivo (Zonal)</t>
        </is>
      </c>
      <c r="E42" s="14" t="inlineStr">
        <is>
          <t>Consultor</t>
        </is>
      </c>
      <c r="F42" s="14" t="n">
        <v>10</v>
      </c>
      <c r="G42" s="14" t="inlineStr">
        <is>
          <t>Dias</t>
        </is>
      </c>
      <c r="H42" s="14" t="inlineStr">
        <is>
          <t>Hábiles</t>
        </is>
      </c>
      <c r="I42" s="19" t="n"/>
      <c r="J42" s="32">
        <f>IF(H42="Corridos",F42+J41,WORKDAY(J41,F42,Tabla4[Fecha]))</f>
        <v/>
      </c>
      <c r="K42" s="15">
        <f>IF(H42="Corridos",F42+M41,WORKDAY(M41,F42,Tabla4[Fecha]))</f>
        <v/>
      </c>
      <c r="L42" s="40" t="n">
        <v>46174</v>
      </c>
      <c r="M42" s="82">
        <f>IF(ISBLANK(L42),K42,L42)</f>
        <v/>
      </c>
    </row>
    <row r="43" ht="40.15" customHeight="1" thickBot="1">
      <c r="A43" s="14" t="n"/>
      <c r="B43" s="14" t="inlineStr">
        <is>
          <t>2024-2027</t>
        </is>
      </c>
      <c r="C43" s="14" t="inlineStr">
        <is>
          <t>Valorización</t>
        </is>
      </c>
      <c r="D43" s="14" t="inlineStr">
        <is>
          <t>Convocatoria Audiencia Pública (Zonal)</t>
        </is>
      </c>
      <c r="E43" s="14" t="inlineStr">
        <is>
          <t>CNE</t>
        </is>
      </c>
      <c r="F43" s="14" t="n">
        <v>5</v>
      </c>
      <c r="G43" s="14" t="inlineStr">
        <is>
          <t>Dias</t>
        </is>
      </c>
      <c r="H43" s="14" t="inlineStr">
        <is>
          <t>Hábiles</t>
        </is>
      </c>
      <c r="I43" s="19" t="n"/>
      <c r="J43" s="32">
        <f>IF(H43="Corridos",F43+J42,WORKDAY(J42,F43,Tabla4[Fecha]))</f>
        <v/>
      </c>
      <c r="K43" s="15">
        <f>IF(H43="Corridos",F43+M42,WORKDAY(M42,F43,Tabla4[Fecha]))</f>
        <v/>
      </c>
      <c r="L43" s="40" t="n"/>
      <c r="M43" s="82">
        <f>IF(ISBLANK(L43),K43,L43)</f>
        <v/>
      </c>
    </row>
    <row r="44" ht="40.15" customHeight="1" thickBot="1">
      <c r="A44" s="14" t="n"/>
      <c r="B44" s="14" t="inlineStr">
        <is>
          <t>2024-2027</t>
        </is>
      </c>
      <c r="C44" s="14" t="inlineStr">
        <is>
          <t>Valorización</t>
        </is>
      </c>
      <c r="D44" s="14" t="inlineStr">
        <is>
          <t>Presentación Nomina de Asistentes</t>
        </is>
      </c>
      <c r="E44" s="14" t="inlineStr">
        <is>
          <t>Participantes e interesados</t>
        </is>
      </c>
      <c r="F44" s="14" t="n">
        <v>3</v>
      </c>
      <c r="G44" s="14" t="inlineStr">
        <is>
          <t>Dias</t>
        </is>
      </c>
      <c r="H44" s="14" t="inlineStr">
        <is>
          <t>Hábiles</t>
        </is>
      </c>
      <c r="I44" s="19" t="n"/>
      <c r="J44" s="32">
        <f>IF(H44="Corridos",F44+J43,WORKDAY(J43,F44,Tabla4[Fecha]))</f>
        <v/>
      </c>
      <c r="K44" s="15">
        <f>IF(H44="Corridos",F44+M43,WORKDAY(M43,F44,Tabla4[Fecha]))</f>
        <v/>
      </c>
      <c r="L44" s="40" t="n"/>
      <c r="M44" s="82">
        <f>IF(ISBLANK(L44),K44,L44)</f>
        <v/>
      </c>
    </row>
    <row r="45" ht="27.6" customHeight="1" thickBot="1">
      <c r="A45" s="14" t="n"/>
      <c r="B45" s="14" t="inlineStr">
        <is>
          <t>2024-2027</t>
        </is>
      </c>
      <c r="C45" s="14" t="inlineStr">
        <is>
          <t>Valorización</t>
        </is>
      </c>
      <c r="D45" s="14" t="inlineStr">
        <is>
          <t>Audiencia Pública</t>
        </is>
      </c>
      <c r="E45" s="14" t="inlineStr">
        <is>
          <t>Todos</t>
        </is>
      </c>
      <c r="F45" s="14" t="n">
        <v>10</v>
      </c>
      <c r="G45" s="14" t="inlineStr">
        <is>
          <t>Dias</t>
        </is>
      </c>
      <c r="H45" s="14" t="inlineStr">
        <is>
          <t>Hábiles</t>
        </is>
      </c>
      <c r="I45" s="19" t="n"/>
      <c r="J45" s="32">
        <f>IF(H45="Corridos",F45+J43,WORKDAY(J43,F45,Tabla4[Fecha]))</f>
        <v/>
      </c>
      <c r="K45" s="15">
        <f>IF(H45="Corridos",F45+M43,WORKDAY(M43,F45,Tabla4[Fecha]))</f>
        <v/>
      </c>
      <c r="L45" s="40" t="n"/>
      <c r="M45" s="18">
        <f>IF(ISBLANK(L45),K45,L45)</f>
        <v/>
      </c>
    </row>
    <row r="46" ht="40.15" customHeight="1" thickBot="1">
      <c r="A46" s="9" t="n"/>
      <c r="B46" s="9" t="inlineStr">
        <is>
          <t>2024-2027</t>
        </is>
      </c>
      <c r="C46" s="9" t="inlineStr">
        <is>
          <t>Valorización</t>
        </is>
      </c>
      <c r="D46" s="9" t="inlineStr">
        <is>
          <t>Informe Técnico Valorización Preliminar</t>
        </is>
      </c>
      <c r="E46" s="9" t="inlineStr">
        <is>
          <t>CNE</t>
        </is>
      </c>
      <c r="F46" s="9" t="n">
        <v>90</v>
      </c>
      <c r="G46" s="9" t="inlineStr">
        <is>
          <t>Dias</t>
        </is>
      </c>
      <c r="H46" s="9" t="inlineStr">
        <is>
          <t>Hábiles</t>
        </is>
      </c>
      <c r="I46" s="10" t="n"/>
      <c r="J46" s="11">
        <f>IF(H46="Corridos",F46+MAX(J45,J15),WORKDAY(MAX(J45,J15),F46,Tabla4[Fecha]))</f>
        <v/>
      </c>
      <c r="K46" s="11">
        <f>IF(H46="Corridos",F46+MAX(K45,K15),WORKDAY(MAX(K45,K15),F46,Tabla4[Fecha]))</f>
        <v/>
      </c>
      <c r="L46" s="11" t="n"/>
      <c r="M46" s="62">
        <f>IF(ISBLANK(L46),K46,L46)</f>
        <v/>
      </c>
      <c r="N46" s="8" t="n"/>
    </row>
    <row r="47" ht="53.45" customHeight="1" thickBot="1">
      <c r="A47" s="9" t="n"/>
      <c r="B47" s="9" t="inlineStr">
        <is>
          <t>2024-2027</t>
        </is>
      </c>
      <c r="C47" s="9" t="inlineStr">
        <is>
          <t>Valorización</t>
        </is>
      </c>
      <c r="D47" s="9" t="inlineStr">
        <is>
          <t>Observaciones Informe Técnico Valorización Preliminar</t>
        </is>
      </c>
      <c r="E47" s="9" t="inlineStr">
        <is>
          <t>Participantes e interesados</t>
        </is>
      </c>
      <c r="F47" s="9" t="n">
        <v>10</v>
      </c>
      <c r="G47" s="9" t="inlineStr">
        <is>
          <t>Dias</t>
        </is>
      </c>
      <c r="H47" s="9" t="inlineStr">
        <is>
          <t>Hábiles</t>
        </is>
      </c>
      <c r="I47" s="10" t="n"/>
      <c r="J47" s="11">
        <f>IF(H46="Corridos",F46+J46,WORKDAY(J46,F46,Tabla4[Fecha]))</f>
        <v/>
      </c>
      <c r="K47" s="11">
        <f>IF(H47="Corridos",F47+K46,WORKDAY(K46,F47,Tabla4[Fecha]))</f>
        <v/>
      </c>
      <c r="L47" s="11" t="n"/>
      <c r="M47" s="11">
        <f>IF(ISBLANK(L47),K47,L47)</f>
        <v/>
      </c>
    </row>
    <row r="48" ht="27" customHeight="1" thickBot="1">
      <c r="A48" s="9" t="n"/>
      <c r="B48" s="9" t="inlineStr">
        <is>
          <t>2024-2027</t>
        </is>
      </c>
      <c r="C48" s="9" t="inlineStr">
        <is>
          <t>Valorización</t>
        </is>
      </c>
      <c r="D48" s="9" t="inlineStr">
        <is>
          <t xml:space="preserve"> Informe Técnico Valorización Final</t>
        </is>
      </c>
      <c r="E48" s="9" t="inlineStr">
        <is>
          <t>CNE</t>
        </is>
      </c>
      <c r="F48" s="9" t="n">
        <v>20</v>
      </c>
      <c r="G48" s="9" t="inlineStr">
        <is>
          <t>Dias</t>
        </is>
      </c>
      <c r="H48" s="9" t="inlineStr">
        <is>
          <t>Hábiles</t>
        </is>
      </c>
      <c r="I48" s="10" t="n"/>
      <c r="J48" s="11">
        <f>IF(H47="Corridos",F47+J47,WORKDAY(J47,F47,Tabla4[Fecha]))</f>
        <v/>
      </c>
      <c r="K48" s="11">
        <f>IF(H48="Corridos",F48+K47,WORKDAY(K47,F48,Tabla4[Fecha]))</f>
        <v/>
      </c>
      <c r="L48" s="11" t="n"/>
      <c r="M48" s="11">
        <f>IF(ISBLANK(L48),K48,L48)</f>
        <v/>
      </c>
    </row>
    <row r="49" ht="40.15" customHeight="1" thickBot="1">
      <c r="A49" s="9" t="n"/>
      <c r="B49" s="9" t="inlineStr">
        <is>
          <t>2024-2027</t>
        </is>
      </c>
      <c r="C49" s="9" t="inlineStr">
        <is>
          <t>Valorización</t>
        </is>
      </c>
      <c r="D49" s="9" t="inlineStr">
        <is>
          <t>Presentación de Discrepancias al Panel de Expertos</t>
        </is>
      </c>
      <c r="E49" s="9" t="inlineStr">
        <is>
          <t>Participantes e interesados</t>
        </is>
      </c>
      <c r="F49" s="9" t="n">
        <v>10</v>
      </c>
      <c r="G49" s="9" t="inlineStr">
        <is>
          <t>Dias</t>
        </is>
      </c>
      <c r="H49" s="9" t="inlineStr">
        <is>
          <t>Hábiles</t>
        </is>
      </c>
      <c r="I49" s="10" t="n"/>
      <c r="J49" s="11">
        <f>IF(H48="Corridos",F48+J48,WORKDAY(J48,F48,Tabla4[Fecha]))</f>
        <v/>
      </c>
      <c r="K49" s="11">
        <f>IF(H49="Corridos",F49+K48,WORKDAY(K48,F49,Tabla4[Fecha]))</f>
        <v/>
      </c>
      <c r="L49" s="11" t="n"/>
      <c r="M49" s="11">
        <f>IF(ISBLANK(L49),K49,L49)</f>
        <v/>
      </c>
      <c r="N49" s="4" t="inlineStr">
        <is>
          <t>*Verificar audiencia del art 211 de la LGSE</t>
        </is>
      </c>
    </row>
    <row r="50" ht="27" customHeight="1" thickBot="1">
      <c r="A50" s="9" t="n"/>
      <c r="B50" s="9" t="inlineStr">
        <is>
          <t>2024-2027</t>
        </is>
      </c>
      <c r="C50" s="9" t="inlineStr">
        <is>
          <t>Valorización</t>
        </is>
      </c>
      <c r="D50" s="9" t="inlineStr">
        <is>
          <t>Audiencia Panel de Expertos</t>
        </is>
      </c>
      <c r="E50" s="9" t="inlineStr">
        <is>
          <t>Panel de Expertos</t>
        </is>
      </c>
      <c r="F50" s="9" t="n">
        <v>10</v>
      </c>
      <c r="G50" s="9" t="inlineStr">
        <is>
          <t>Dias</t>
        </is>
      </c>
      <c r="H50" s="9" t="inlineStr">
        <is>
          <t>Hábiles</t>
        </is>
      </c>
      <c r="I50" s="10" t="n"/>
      <c r="J50" s="11">
        <f>IF(H49="Corridos",F49+J49,WORKDAY(J49,F49,Tabla4[Fecha]))</f>
        <v/>
      </c>
      <c r="K50" s="11">
        <f>IF(H50="Corridos",F50+K49,WORKDAY(K49,F50,Tabla4[Fecha]))</f>
        <v/>
      </c>
      <c r="L50" s="11" t="n"/>
      <c r="M50" s="11">
        <f>IF(ISBLANK(L50),K50,L50)</f>
        <v/>
      </c>
      <c r="N50" s="4" t="inlineStr">
        <is>
          <t>*Puede ser mayor a 10 días!</t>
        </is>
      </c>
    </row>
    <row r="51" ht="27" customHeight="1" thickBot="1">
      <c r="A51" s="9" t="n"/>
      <c r="B51" s="9" t="inlineStr">
        <is>
          <t>2024-2027</t>
        </is>
      </c>
      <c r="C51" s="9" t="inlineStr">
        <is>
          <t>Valorización</t>
        </is>
      </c>
      <c r="D51" s="9" t="inlineStr">
        <is>
          <t>Dictamen Panel de Expertos</t>
        </is>
      </c>
      <c r="E51" s="9" t="inlineStr">
        <is>
          <t>Panel de Expertos</t>
        </is>
      </c>
      <c r="F51" s="9" t="n">
        <v>45</v>
      </c>
      <c r="G51" s="9" t="inlineStr">
        <is>
          <t>Dias</t>
        </is>
      </c>
      <c r="H51" s="9" t="inlineStr">
        <is>
          <t>Hábiles</t>
        </is>
      </c>
      <c r="I51" s="10" t="n"/>
      <c r="J51" s="11">
        <f>IF(H50="Corridos",F50+J50,WORKDAY(J50,F50,Tabla4[Fecha]))</f>
        <v/>
      </c>
      <c r="K51" s="11">
        <f>IF(H51="Corridos",F51+K50,WORKDAY(K50,F51,Tabla4[Fecha]))</f>
        <v/>
      </c>
      <c r="L51" s="11" t="n"/>
      <c r="M51" s="11">
        <f>IF(ISBLANK(L51),K51,L51)</f>
        <v/>
      </c>
    </row>
    <row r="52" ht="40.15" customHeight="1" thickBot="1">
      <c r="A52" s="9" t="n"/>
      <c r="B52" s="9" t="inlineStr">
        <is>
          <t>2024-2027</t>
        </is>
      </c>
      <c r="C52" s="9" t="inlineStr">
        <is>
          <t>Valorización</t>
        </is>
      </c>
      <c r="D52" s="9" t="inlineStr">
        <is>
          <t>Informe Técnico de Valorización definitivo</t>
        </is>
      </c>
      <c r="E52" s="9" t="inlineStr">
        <is>
          <t>CNE</t>
        </is>
      </c>
      <c r="F52" s="9" t="n">
        <v>20</v>
      </c>
      <c r="G52" s="9" t="inlineStr">
        <is>
          <t>Dias</t>
        </is>
      </c>
      <c r="H52" s="9" t="inlineStr">
        <is>
          <t>Hábiles</t>
        </is>
      </c>
      <c r="I52" s="10" t="n"/>
      <c r="J52" s="11">
        <f>IF(H51="Corridos",F51+J51,WORKDAY(J51,F51,Tabla4[Fecha]))</f>
        <v/>
      </c>
      <c r="K52" s="11">
        <f>IF(H52="Corridos",F52+K51,WORKDAY(K51,F52,Tabla4[Fecha]))</f>
        <v/>
      </c>
      <c r="L52" s="11" t="n"/>
      <c r="M52" s="11">
        <f>IF(ISBLANK(L52),K52,L52)</f>
        <v/>
      </c>
      <c r="N52" s="4" t="inlineStr">
        <is>
          <t>*Suponemos que se presentan discrepancias</t>
        </is>
      </c>
    </row>
    <row r="53" ht="27" customHeight="1" thickBot="1">
      <c r="A53" s="9" t="n"/>
      <c r="B53" s="9" t="inlineStr">
        <is>
          <t>2024-2027</t>
        </is>
      </c>
      <c r="C53" s="9" t="inlineStr">
        <is>
          <t>Valorización</t>
        </is>
      </c>
      <c r="D53" s="9" t="inlineStr">
        <is>
          <t>Decreto Expedido</t>
        </is>
      </c>
      <c r="E53" s="9" t="inlineStr">
        <is>
          <t>Ministerio de Energía</t>
        </is>
      </c>
      <c r="F53" s="9" t="n">
        <v>20</v>
      </c>
      <c r="G53" s="9" t="inlineStr">
        <is>
          <t>Dias</t>
        </is>
      </c>
      <c r="H53" s="9" t="inlineStr">
        <is>
          <t>Hábiles</t>
        </is>
      </c>
      <c r="I53" s="10" t="n"/>
      <c r="J53" s="11">
        <f>IF(H52="Corridos",F52+J52,WORKDAY(J52,F52,Tabla4[Fecha]))</f>
        <v/>
      </c>
      <c r="K53" s="11">
        <f>IF(H53="Corridos",F53+K52,WORKDAY(K52,F53,Tabla4[Fecha]))</f>
        <v/>
      </c>
      <c r="L53" s="11" t="n"/>
      <c r="M53" s="11">
        <f>IF(ISBLANK(L53),K53,L53)</f>
        <v/>
      </c>
    </row>
    <row r="54" ht="13.15" customHeight="1"/>
    <row r="55" ht="13.9" customHeight="1" thickBot="1"/>
    <row r="56" ht="27" customHeight="1" thickBot="1">
      <c r="A56" s="2" t="inlineStr">
        <is>
          <t>ID</t>
        </is>
      </c>
      <c r="B56" s="2" t="inlineStr">
        <is>
          <t>Periodo</t>
        </is>
      </c>
      <c r="C56" s="2" t="inlineStr">
        <is>
          <t>Proceso</t>
        </is>
      </c>
      <c r="D56" s="2" t="inlineStr">
        <is>
          <t>Hito / Etapa</t>
        </is>
      </c>
      <c r="E56" s="2" t="inlineStr">
        <is>
          <t>Responsable</t>
        </is>
      </c>
      <c r="F56" s="2" t="inlineStr">
        <is>
          <t>Plazo</t>
        </is>
      </c>
      <c r="G56" s="2" t="inlineStr">
        <is>
          <t>Tipo Plazo</t>
        </is>
      </c>
      <c r="H56" s="2" t="inlineStr">
        <is>
          <t>Hábiles o Corridos</t>
        </is>
      </c>
      <c r="I56" s="2" t="inlineStr">
        <is>
          <t>Gatillador</t>
        </is>
      </c>
      <c r="J56" s="2" t="inlineStr">
        <is>
          <t>Fecha_teórica</t>
        </is>
      </c>
      <c r="K56" s="2" t="inlineStr">
        <is>
          <t>Fecha Proyectada (Normativa)</t>
        </is>
      </c>
      <c r="L56" s="2" t="inlineStr">
        <is>
          <t>Fecha Real (Evidencia)</t>
        </is>
      </c>
      <c r="M56" s="2" t="inlineStr">
        <is>
          <t>Fecha_Vigente</t>
        </is>
      </c>
    </row>
    <row r="57" ht="27" customHeight="1" thickBot="1">
      <c r="A57" s="2" t="n"/>
      <c r="B57" s="2" t="inlineStr">
        <is>
          <t>2024-2027</t>
        </is>
      </c>
      <c r="C57" s="2" t="inlineStr">
        <is>
          <t>Valorización</t>
        </is>
      </c>
      <c r="D57" s="2" t="inlineStr">
        <is>
          <t>Llamado a licitación pública</t>
        </is>
      </c>
      <c r="E57" s="2" t="inlineStr">
        <is>
          <t>Comisión</t>
        </is>
      </c>
      <c r="F57" s="2" t="n">
        <v>15</v>
      </c>
      <c r="G57" s="2" t="inlineStr">
        <is>
          <t>Días</t>
        </is>
      </c>
      <c r="H57" s="2" t="inlineStr">
        <is>
          <t>Hábiles</t>
        </is>
      </c>
      <c r="I57" s="2" t="inlineStr">
        <is>
          <t>Bases Técnicas Definitivas</t>
        </is>
      </c>
      <c r="J57" s="3" t="n">
        <v>44697</v>
      </c>
      <c r="K57" s="3" t="n">
        <v>44847</v>
      </c>
      <c r="L57" s="3" t="n">
        <v>45534</v>
      </c>
      <c r="M57" s="3">
        <f>IF(ISBLANK(L57),K57,L57)</f>
        <v/>
      </c>
      <c r="N57" t="inlineStr">
        <is>
          <t>*Repetido</t>
        </is>
      </c>
    </row>
    <row r="58" ht="27" customHeight="1" thickBot="1">
      <c r="A58" s="21" t="n">
        <v>32</v>
      </c>
      <c r="B58" s="21" t="inlineStr">
        <is>
          <t>2024-2027</t>
        </is>
      </c>
      <c r="C58" s="21" t="inlineStr">
        <is>
          <t>Valorización</t>
        </is>
      </c>
      <c r="D58" s="21" t="inlineStr">
        <is>
          <t>Adjudicación / Contrato (Nacional)</t>
        </is>
      </c>
      <c r="E58" s="21" t="inlineStr">
        <is>
          <t>Comité</t>
        </is>
      </c>
      <c r="F58" s="21" t="n">
        <v>90</v>
      </c>
      <c r="G58" s="21" t="inlineStr">
        <is>
          <t>Días</t>
        </is>
      </c>
      <c r="H58" s="21" t="inlineStr">
        <is>
          <t>Hábiles</t>
        </is>
      </c>
      <c r="I58" s="21" t="inlineStr">
        <is>
          <t>Ofertas</t>
        </is>
      </c>
      <c r="J58" s="23">
        <f>IF(H58="Corridos",F58+J57,WORKDAY(J57,F58,Tabla4[Fecha]))</f>
        <v/>
      </c>
      <c r="K58" s="23">
        <f>IF(H58="Corridos",F58+M57,WORKDAY(M57,F58,Tabla4[Fecha]))</f>
        <v/>
      </c>
      <c r="L58" s="23" t="n">
        <v>45728</v>
      </c>
      <c r="M58" s="3">
        <f>IF(ISBLANK(L58),K58,L58)</f>
        <v/>
      </c>
      <c r="N58" t="inlineStr">
        <is>
          <t>*Ocurrieron dos llamados a licitaciones (extensión del plazo)</t>
        </is>
      </c>
    </row>
    <row r="59" ht="27" customHeight="1" thickBot="1">
      <c r="A59" s="21" t="n">
        <v>3</v>
      </c>
      <c r="B59" s="21" t="inlineStr">
        <is>
          <t>2024-2027</t>
        </is>
      </c>
      <c r="C59" s="21" t="inlineStr">
        <is>
          <t>Valorización</t>
        </is>
      </c>
      <c r="D59" s="21" t="inlineStr">
        <is>
          <t>Inicio de Estudio Nacional</t>
        </is>
      </c>
      <c r="E59" s="21" t="inlineStr">
        <is>
          <t>Consultor</t>
        </is>
      </c>
      <c r="F59" s="21" t="n">
        <v>20</v>
      </c>
      <c r="G59" s="21" t="inlineStr">
        <is>
          <t>Días</t>
        </is>
      </c>
      <c r="H59" s="21" t="inlineStr">
        <is>
          <t>Hábiles</t>
        </is>
      </c>
      <c r="I59" s="21" t="inlineStr">
        <is>
          <t>Adjudicación / Contrato (Zonal)</t>
        </is>
      </c>
      <c r="J59" s="23">
        <f>IF(H59="Corridos",F59+J58,WORKDAY(J58,F59,Tabla4[Fecha]))</f>
        <v/>
      </c>
      <c r="K59" s="23">
        <f>IF(H59="Corridos",F59+K58,WORKDAY(K58,F59,Tabla4[Fecha]))</f>
        <v/>
      </c>
      <c r="L59" s="23" t="n">
        <v>45728</v>
      </c>
      <c r="M59" s="3">
        <f>IF(ISBLANK(L59),K59,L59)</f>
        <v/>
      </c>
    </row>
    <row r="60" ht="40.15" customHeight="1" thickBot="1">
      <c r="A60" s="21" t="n">
        <v>33</v>
      </c>
      <c r="B60" s="21" t="inlineStr">
        <is>
          <t>2024-2027</t>
        </is>
      </c>
      <c r="C60" s="21" t="inlineStr">
        <is>
          <t>Valorización</t>
        </is>
      </c>
      <c r="D60" s="21" t="inlineStr">
        <is>
          <t>Entrega Informe Avance 1 (Nacional)</t>
        </is>
      </c>
      <c r="E60" s="21" t="inlineStr">
        <is>
          <t>Consultor</t>
        </is>
      </c>
      <c r="F60" s="21" t="n">
        <v>50</v>
      </c>
      <c r="G60" s="21" t="inlineStr">
        <is>
          <t>Dias</t>
        </is>
      </c>
      <c r="H60" s="21" t="inlineStr">
        <is>
          <t>Corridos</t>
        </is>
      </c>
      <c r="I60" s="22" t="inlineStr">
        <is>
          <t>Adjudicación (Nacional)</t>
        </is>
      </c>
      <c r="J60" s="23">
        <f>IF(H60="Corridos",F60+J59,WORKDAY(J59,F60,Tabla4[Fecha]))</f>
        <v/>
      </c>
      <c r="K60" s="23">
        <f>IF(H60="Corridos",F60+M59,WORKDAY(M59,F60,Tabla4[Fecha]))</f>
        <v/>
      </c>
      <c r="L60" s="23" t="n">
        <v>45768</v>
      </c>
      <c r="M60" s="3">
        <f>IF(ISBLANK(L60),K60,L60)</f>
        <v/>
      </c>
    </row>
    <row r="61" ht="40.15" customHeight="1" thickBot="1">
      <c r="A61" s="21" t="n">
        <v>34</v>
      </c>
      <c r="B61" s="21" t="inlineStr">
        <is>
          <t>2024-2027</t>
        </is>
      </c>
      <c r="C61" s="21" t="inlineStr">
        <is>
          <t>Valorización</t>
        </is>
      </c>
      <c r="D61" s="21" t="inlineStr">
        <is>
          <t>Observaciones Informe Avance 1 (Nacional)</t>
        </is>
      </c>
      <c r="E61" s="21" t="inlineStr">
        <is>
          <t>Participantes e interesados</t>
        </is>
      </c>
      <c r="F61" s="21" t="n">
        <v>15</v>
      </c>
      <c r="G61" s="21" t="inlineStr">
        <is>
          <t>Dias</t>
        </is>
      </c>
      <c r="H61" s="21" t="inlineStr">
        <is>
          <t>Hábiles</t>
        </is>
      </c>
      <c r="I61" s="22" t="n"/>
      <c r="J61" s="23">
        <f>IF(H61="Corridos",F61+J60,WORKDAY(J60,F61,Tabla4[Fecha]))</f>
        <v/>
      </c>
      <c r="K61" s="23">
        <f>IF(H61="Corridos",F61+M60,WORKDAY(M60,F61,Tabla4[Fecha]))</f>
        <v/>
      </c>
      <c r="L61" s="23" t="n">
        <v>45792</v>
      </c>
      <c r="M61" s="3">
        <f>IF(ISBLANK(L61),K61,L61)</f>
        <v/>
      </c>
      <c r="N61" s="4" t="inlineStr">
        <is>
          <t>*17 días hábiles se presentan observaciones</t>
        </is>
      </c>
    </row>
    <row r="62" ht="40.15" customHeight="1" thickBot="1">
      <c r="A62" s="21" t="n">
        <v>35</v>
      </c>
      <c r="B62" s="21" t="inlineStr">
        <is>
          <t>2024-2027</t>
        </is>
      </c>
      <c r="C62" s="21" t="inlineStr">
        <is>
          <t>Valorización</t>
        </is>
      </c>
      <c r="D62" s="21" t="inlineStr">
        <is>
          <t>Entrega Informe Avance 1 V2 (Nacional)</t>
        </is>
      </c>
      <c r="E62" s="21" t="inlineStr">
        <is>
          <t>Consultor</t>
        </is>
      </c>
      <c r="F62" s="21" t="n">
        <v>4</v>
      </c>
      <c r="G62" s="21" t="inlineStr">
        <is>
          <t>Dias</t>
        </is>
      </c>
      <c r="H62" s="21" t="inlineStr">
        <is>
          <t>Hábiles</t>
        </is>
      </c>
      <c r="I62" s="22" t="n"/>
      <c r="J62" s="23">
        <f>IF(H62="Corridos",F62+J61,WORKDAY(J61,F62,Tabla4[Fecha]))</f>
        <v/>
      </c>
      <c r="K62" s="23">
        <f>IF(H62="Corridos",F62+M61,WORKDAY(M61,F62,Tabla4[Fecha]))</f>
        <v/>
      </c>
      <c r="L62" s="23" t="n">
        <v>45811</v>
      </c>
      <c r="M62" s="3">
        <f>IF(ISBLANK(L62),K62,L62)</f>
        <v/>
      </c>
      <c r="N62" s="4" t="inlineStr">
        <is>
          <t>*19 días Corridos/Con extensión de plazo</t>
        </is>
      </c>
    </row>
    <row r="63" ht="40.15" customHeight="1" thickBot="1">
      <c r="A63" s="21" t="n">
        <v>36</v>
      </c>
      <c r="B63" s="21" t="inlineStr">
        <is>
          <t>2024-2027</t>
        </is>
      </c>
      <c r="C63" s="21" t="inlineStr">
        <is>
          <t>Valorización</t>
        </is>
      </c>
      <c r="D63" s="21" t="inlineStr">
        <is>
          <t>Observaciones Informe Avance 1 V2 (Nacional)</t>
        </is>
      </c>
      <c r="E63" s="21" t="inlineStr">
        <is>
          <t>Participantes e interesados</t>
        </is>
      </c>
      <c r="F63" s="21" t="n">
        <v>3</v>
      </c>
      <c r="G63" s="21" t="inlineStr">
        <is>
          <t>Dias</t>
        </is>
      </c>
      <c r="H63" s="21" t="inlineStr">
        <is>
          <t>Hábiles</t>
        </is>
      </c>
      <c r="I63" s="22" t="n"/>
      <c r="J63" s="23">
        <f>IF(H63="Corridos",F63+J62,WORKDAY(J62,F63,Tabla4[Fecha]))</f>
        <v/>
      </c>
      <c r="K63" s="23">
        <f>IF(H63="Corridos",F63+M62,WORKDAY(M62,F63,Tabla4[Fecha]))</f>
        <v/>
      </c>
      <c r="L63" s="23" t="n">
        <v>45818</v>
      </c>
      <c r="M63" s="3">
        <f>IF(ISBLANK(L63),K63,L63)</f>
        <v/>
      </c>
      <c r="N63" s="4" t="inlineStr">
        <is>
          <t>*5 Días hábiles presentaron observaciones</t>
        </is>
      </c>
    </row>
    <row r="64" ht="27" customHeight="1" thickBot="1">
      <c r="A64" s="21" t="n">
        <v>37</v>
      </c>
      <c r="B64" s="21" t="inlineStr">
        <is>
          <t>2024-2027</t>
        </is>
      </c>
      <c r="C64" s="21" t="inlineStr">
        <is>
          <t>Valorización</t>
        </is>
      </c>
      <c r="D64" s="21" t="inlineStr">
        <is>
          <t xml:space="preserve"> Informe Avance 1 V3 (Nacional)</t>
        </is>
      </c>
      <c r="E64" s="21" t="inlineStr">
        <is>
          <t>Consultor</t>
        </is>
      </c>
      <c r="F64" s="21" t="n">
        <v>5</v>
      </c>
      <c r="G64" s="21" t="inlineStr">
        <is>
          <t>Dias</t>
        </is>
      </c>
      <c r="H64" s="21" t="inlineStr">
        <is>
          <t>Hábiles</t>
        </is>
      </c>
      <c r="I64" s="22" t="n"/>
      <c r="J64" s="23">
        <f>IF(H64="Corridos",F64+J63,WORKDAY(J63,F64,Tabla4[Fecha]))</f>
        <v/>
      </c>
      <c r="K64" s="23">
        <f>IF(H64="Corridos",F64+M63,WORKDAY(M63,F64,Tabla4[Fecha]))</f>
        <v/>
      </c>
      <c r="L64" s="23" t="n">
        <v>45833</v>
      </c>
      <c r="M64" s="3">
        <f>IF(ISBLANK(L64),K64,L64)</f>
        <v/>
      </c>
      <c r="N64" s="4" t="inlineStr">
        <is>
          <t>*15 Días Corridos para presentaciones</t>
        </is>
      </c>
    </row>
    <row r="65" ht="40.15" customHeight="1" thickBot="1">
      <c r="A65" s="21" t="n">
        <v>38</v>
      </c>
      <c r="B65" s="21" t="inlineStr">
        <is>
          <t>2024-2027</t>
        </is>
      </c>
      <c r="C65" s="21" t="inlineStr">
        <is>
          <t>Valorización</t>
        </is>
      </c>
      <c r="D65" s="21" t="inlineStr">
        <is>
          <t>Observaciones Informe Avance 1 V3 (Nacional)</t>
        </is>
      </c>
      <c r="E65" s="21" t="inlineStr">
        <is>
          <t>Participantes e interesados</t>
        </is>
      </c>
      <c r="F65" s="21" t="n">
        <v>15</v>
      </c>
      <c r="G65" s="21" t="inlineStr">
        <is>
          <t>Dias</t>
        </is>
      </c>
      <c r="H65" s="21" t="inlineStr">
        <is>
          <t>Hábiles</t>
        </is>
      </c>
      <c r="I65" s="22" t="n"/>
      <c r="J65" s="23">
        <f>IF(H65="Corridos",F65+J64,WORKDAY(J64,F65,Tabla4[Fecha]))</f>
        <v/>
      </c>
      <c r="K65" s="23">
        <f>IF(H65="Corridos",F65+M64,WORKDAY(M64,F65,Tabla4[Fecha]))</f>
        <v/>
      </c>
      <c r="L65" s="23" t="n">
        <v>45842</v>
      </c>
      <c r="M65" s="3">
        <f>IF(ISBLANK(L65),K65,L65)</f>
        <v/>
      </c>
      <c r="N65" t="inlineStr">
        <is>
          <t>*Observaciones y previas para la entrega de información.</t>
        </is>
      </c>
    </row>
    <row r="66" ht="27" customHeight="1" thickBot="1">
      <c r="A66" s="21" t="n">
        <v>39</v>
      </c>
      <c r="B66" s="21" t="inlineStr">
        <is>
          <t>2024-2027</t>
        </is>
      </c>
      <c r="C66" s="21" t="inlineStr">
        <is>
          <t>Valorización</t>
        </is>
      </c>
      <c r="D66" s="21" t="inlineStr">
        <is>
          <t>Informe Avance 2 (Nacional)</t>
        </is>
      </c>
      <c r="E66" s="21" t="inlineStr">
        <is>
          <t>Consultor</t>
        </is>
      </c>
      <c r="F66" s="21" t="n">
        <v>130</v>
      </c>
      <c r="G66" s="21" t="inlineStr">
        <is>
          <t>Dias</t>
        </is>
      </c>
      <c r="H66" s="21" t="inlineStr">
        <is>
          <t>Corridos</t>
        </is>
      </c>
      <c r="I66" s="22" t="n"/>
      <c r="J66" s="23">
        <f>IF(H66="Corridos",F66+J59,WORKDAY(J59,F66,Tabla4[Fecha]))</f>
        <v/>
      </c>
      <c r="K66" s="23">
        <f>IF(H66="Corridos",F66+M59,WORKDAY(M59,F66,Tabla4[Fecha]))</f>
        <v/>
      </c>
      <c r="L66" s="23" t="n">
        <v>46079</v>
      </c>
      <c r="M66" s="3">
        <f>IF(ISBLANK(L66),K66,L66)</f>
        <v/>
      </c>
      <c r="N66" s="4" t="inlineStr">
        <is>
          <t>*Dos Extensiones de plazo/130 días desde el inicio del estudio</t>
        </is>
      </c>
    </row>
    <row r="67" ht="40.15" customHeight="1" thickBot="1">
      <c r="A67" s="21" t="n"/>
      <c r="B67" s="21" t="inlineStr">
        <is>
          <t>2024-2027</t>
        </is>
      </c>
      <c r="C67" s="21" t="inlineStr">
        <is>
          <t>Valorización</t>
        </is>
      </c>
      <c r="D67" s="21" t="inlineStr">
        <is>
          <t>Observaciones Informe Avance 2 (Zonal)</t>
        </is>
      </c>
      <c r="E67" s="21" t="inlineStr">
        <is>
          <t>Participantes e interesados</t>
        </is>
      </c>
      <c r="F67" s="21" t="n">
        <v>15</v>
      </c>
      <c r="G67" s="21" t="inlineStr">
        <is>
          <t>Dias</t>
        </is>
      </c>
      <c r="H67" s="21" t="inlineStr">
        <is>
          <t>Hábiles</t>
        </is>
      </c>
      <c r="I67" s="22" t="n"/>
      <c r="J67" s="23">
        <f>IF(H67="Corridos",F67+J66,WORKDAY(J66,F67,Tabla4[Fecha]))</f>
        <v/>
      </c>
      <c r="K67" s="23">
        <f>IF(H67="Corridos",F67+M66,WORKDAY(M66,F67,Tabla4[Fecha]))</f>
        <v/>
      </c>
      <c r="L67" s="23" t="n"/>
      <c r="M67" s="3">
        <f>IF(ISBLANK(L67),K67,L67)</f>
        <v/>
      </c>
      <c r="N67" s="4" t="n"/>
    </row>
    <row r="68" ht="27" customHeight="1" thickBot="1">
      <c r="A68" s="21" t="n"/>
      <c r="B68" s="21" t="inlineStr">
        <is>
          <t>2024-2027</t>
        </is>
      </c>
      <c r="C68" s="21" t="inlineStr">
        <is>
          <t>Valorización</t>
        </is>
      </c>
      <c r="D68" s="21" t="inlineStr">
        <is>
          <t>Informe Preliminar (Nacional)</t>
        </is>
      </c>
      <c r="E68" s="21" t="inlineStr">
        <is>
          <t>Consultor</t>
        </is>
      </c>
      <c r="F68" s="21" t="n">
        <v>180</v>
      </c>
      <c r="G68" s="21" t="inlineStr">
        <is>
          <t>Dias</t>
        </is>
      </c>
      <c r="H68" s="21" t="inlineStr">
        <is>
          <t>Corridos</t>
        </is>
      </c>
      <c r="I68" s="22" t="n"/>
      <c r="J68" s="23">
        <f>IF(H68="Corridos",F68+J59,WORKDAY(J59,F68,Tabla4[Fecha]))</f>
        <v/>
      </c>
      <c r="K68" s="23">
        <f>IF(H68="Corridos",F68+L59,WORKDAY(L59,F68,Tabla4[Fecha]))</f>
        <v/>
      </c>
      <c r="L68" s="77" t="n">
        <v>46129</v>
      </c>
      <c r="M68" s="3">
        <f>IF(ISBLANK(L68),K68,L68)</f>
        <v/>
      </c>
      <c r="N68" s="4" t="inlineStr">
        <is>
          <t>*373 Días corridos desde el inicio de los estudios</t>
        </is>
      </c>
    </row>
    <row r="69" ht="40.15" customHeight="1" thickBot="1">
      <c r="A69" s="21" t="n"/>
      <c r="B69" s="21" t="inlineStr">
        <is>
          <t>2024-2027</t>
        </is>
      </c>
      <c r="C69" s="21" t="inlineStr">
        <is>
          <t>Valorización</t>
        </is>
      </c>
      <c r="D69" s="21" t="inlineStr">
        <is>
          <t>Observaciones Informe Preliminar (Nacional)</t>
        </is>
      </c>
      <c r="E69" s="21" t="inlineStr">
        <is>
          <t>Participantes e interesados</t>
        </is>
      </c>
      <c r="F69" s="21" t="n">
        <v>15</v>
      </c>
      <c r="G69" s="21" t="inlineStr">
        <is>
          <t>Dias</t>
        </is>
      </c>
      <c r="H69" s="21" t="inlineStr">
        <is>
          <t>Hábiles</t>
        </is>
      </c>
      <c r="I69" s="22" t="n"/>
      <c r="J69" s="23">
        <f>IF(H69="Corridos",F69+J68,WORKDAY(J68,F69,Tabla4[Fecha]))</f>
        <v/>
      </c>
      <c r="K69" s="23">
        <f>IF(H69="Corridos",F69+M68,WORKDAY(M68,F69,Tabla4[Fecha]))</f>
        <v/>
      </c>
      <c r="L69" s="23" t="n"/>
      <c r="M69" s="3">
        <f>IF(ISBLANK(L69),K69,L69)</f>
        <v/>
      </c>
    </row>
    <row r="70" ht="27" customHeight="1" thickBot="1">
      <c r="A70" s="21" t="n"/>
      <c r="B70" s="21" t="inlineStr">
        <is>
          <t>2024-2027</t>
        </is>
      </c>
      <c r="C70" s="21" t="inlineStr">
        <is>
          <t>Valorización</t>
        </is>
      </c>
      <c r="D70" s="21" t="inlineStr">
        <is>
          <t>Informe Final (Nacional)</t>
        </is>
      </c>
      <c r="E70" s="21" t="inlineStr">
        <is>
          <t>Consultor</t>
        </is>
      </c>
      <c r="F70" s="21" t="n">
        <v>220</v>
      </c>
      <c r="G70" s="21" t="inlineStr">
        <is>
          <t>Dias</t>
        </is>
      </c>
      <c r="H70" s="21" t="inlineStr">
        <is>
          <t>Corridos</t>
        </is>
      </c>
      <c r="I70" s="22" t="n"/>
      <c r="J70" s="23">
        <f>IF(H70="Corridos",F70+J59,WORKDAY(J59,F70,Tabla4[Fecha]))</f>
        <v/>
      </c>
      <c r="K70" s="23">
        <f>IF(H70="Corridos",F70+K69,WORKDAY(K69,F70,Tabla4[Fecha]))</f>
        <v/>
      </c>
      <c r="L70" s="77" t="n">
        <v>46169</v>
      </c>
      <c r="M70" s="3">
        <f>IF(ISBLANK(L70),K70,L70)</f>
        <v/>
      </c>
    </row>
    <row r="71" ht="40.15" customHeight="1" thickBot="1">
      <c r="A71" s="21" t="n"/>
      <c r="B71" s="21" t="inlineStr">
        <is>
          <t>2024-2027</t>
        </is>
      </c>
      <c r="C71" s="21" t="inlineStr">
        <is>
          <t>Valorización</t>
        </is>
      </c>
      <c r="D71" s="21" t="inlineStr">
        <is>
          <t>Observaciones Informe Final (Nacional)</t>
        </is>
      </c>
      <c r="E71" s="21" t="inlineStr">
        <is>
          <t>Participantes e interesados</t>
        </is>
      </c>
      <c r="F71" s="21" t="n">
        <v>10</v>
      </c>
      <c r="G71" s="21" t="inlineStr">
        <is>
          <t>Dias</t>
        </is>
      </c>
      <c r="H71" s="21" t="inlineStr">
        <is>
          <t>Hábiles</t>
        </is>
      </c>
      <c r="I71" s="22" t="n"/>
      <c r="J71" s="23">
        <f>IF(H71="Corridos",F71+J70,WORKDAY(J70,F71,Tabla4[Fecha]))</f>
        <v/>
      </c>
      <c r="K71" s="23">
        <f>IF(H71="Corridos",F71+M70,WORKDAY(M70,F71,Tabla4[Fecha]))</f>
        <v/>
      </c>
      <c r="L71" s="23" t="n"/>
      <c r="M71" s="3">
        <f>IF(ISBLANK(L71),K71,L71)</f>
        <v/>
      </c>
    </row>
    <row r="72" ht="27" customHeight="1" thickBot="1">
      <c r="A72" s="21" t="n"/>
      <c r="B72" s="21" t="inlineStr">
        <is>
          <t>2024-2027</t>
        </is>
      </c>
      <c r="C72" s="21" t="inlineStr">
        <is>
          <t>Valorización</t>
        </is>
      </c>
      <c r="D72" s="21" t="inlineStr">
        <is>
          <t>Informe Definitivo (Nacional)</t>
        </is>
      </c>
      <c r="E72" s="21" t="inlineStr">
        <is>
          <t>Consultor</t>
        </is>
      </c>
      <c r="F72" s="21" t="n">
        <v>10</v>
      </c>
      <c r="G72" s="21" t="inlineStr">
        <is>
          <t>Dias</t>
        </is>
      </c>
      <c r="H72" s="21" t="inlineStr">
        <is>
          <t>Hábiles</t>
        </is>
      </c>
      <c r="I72" s="22" t="n"/>
      <c r="J72" s="23">
        <f>IF(H72="Corridos",F72+J71,WORKDAY(J71,F72,Tabla4[Fecha]))</f>
        <v/>
      </c>
      <c r="K72" s="23">
        <f>IF(H72="Corridos",F72+M71,WORKDAY(M71,F72,Tabla4[Fecha]))</f>
        <v/>
      </c>
      <c r="L72" s="23" t="n"/>
      <c r="M72" s="3">
        <f>IF(ISBLANK(L72),K72,L72)</f>
        <v/>
      </c>
    </row>
    <row r="73" ht="40.15" customHeight="1" thickBot="1">
      <c r="A73" s="21" t="n"/>
      <c r="B73" s="21" t="inlineStr">
        <is>
          <t>2024-2027</t>
        </is>
      </c>
      <c r="C73" s="21" t="inlineStr">
        <is>
          <t>Valorización</t>
        </is>
      </c>
      <c r="D73" s="21" t="inlineStr">
        <is>
          <t>Convocatoria Audiencia Pública (Nacional)</t>
        </is>
      </c>
      <c r="E73" s="21" t="inlineStr">
        <is>
          <t>CNE</t>
        </is>
      </c>
      <c r="F73" s="21" t="n">
        <v>5</v>
      </c>
      <c r="G73" s="21" t="inlineStr">
        <is>
          <t>Dias</t>
        </is>
      </c>
      <c r="H73" s="21" t="inlineStr">
        <is>
          <t>Hábiles</t>
        </is>
      </c>
      <c r="I73" s="22" t="n"/>
      <c r="J73" s="23">
        <f>IF(H73="Corridos",F73+J72,WORKDAY(J72,F73,Tabla4[Fecha]))</f>
        <v/>
      </c>
      <c r="K73" s="23">
        <f>IF(H73="Corridos",F73+M72,WORKDAY(M72,F73,Tabla4[Fecha]))</f>
        <v/>
      </c>
      <c r="L73" s="23" t="n"/>
      <c r="M73" s="3">
        <f>IF(ISBLANK(L73),K73,L73)</f>
        <v/>
      </c>
    </row>
    <row r="74" ht="40.15" customHeight="1" thickBot="1">
      <c r="A74" s="21" t="n"/>
      <c r="B74" s="21" t="inlineStr">
        <is>
          <t>2024-2027</t>
        </is>
      </c>
      <c r="C74" s="21" t="inlineStr">
        <is>
          <t>Valorización</t>
        </is>
      </c>
      <c r="D74" s="21" t="inlineStr">
        <is>
          <t>Presentación Nomina de Asistentes</t>
        </is>
      </c>
      <c r="E74" s="21" t="inlineStr">
        <is>
          <t>Participantes e interesados</t>
        </is>
      </c>
      <c r="F74" s="21" t="n">
        <v>3</v>
      </c>
      <c r="G74" s="21" t="inlineStr">
        <is>
          <t>Dias</t>
        </is>
      </c>
      <c r="H74" s="21" t="inlineStr">
        <is>
          <t>Hábiles</t>
        </is>
      </c>
      <c r="I74" s="22" t="n"/>
      <c r="J74" s="23">
        <f>IF(H74="Corridos",F74+J73,WORKDAY(J73,F74,Tabla4[Fecha]))</f>
        <v/>
      </c>
      <c r="K74" s="23">
        <f>IF(H74="Corridos",F74+M73,WORKDAY(M73,F74,Tabla4[Fecha]))</f>
        <v/>
      </c>
      <c r="L74" s="23" t="n"/>
      <c r="M74" s="3">
        <f>IF(ISBLANK(L74),K74,L74)</f>
        <v/>
      </c>
    </row>
    <row r="75" ht="40.9" customHeight="1" thickBot="1">
      <c r="A75" s="21" t="n"/>
      <c r="B75" s="21" t="inlineStr">
        <is>
          <t>2024-2027</t>
        </is>
      </c>
      <c r="C75" s="21" t="inlineStr">
        <is>
          <t>Valorización</t>
        </is>
      </c>
      <c r="D75" s="21" t="inlineStr">
        <is>
          <t>Audiencia Publica</t>
        </is>
      </c>
      <c r="E75" s="21" t="inlineStr">
        <is>
          <t>Todos</t>
        </is>
      </c>
      <c r="F75" s="21" t="n">
        <v>10</v>
      </c>
      <c r="G75" s="21" t="inlineStr">
        <is>
          <t>Dias</t>
        </is>
      </c>
      <c r="H75" s="21" t="inlineStr">
        <is>
          <t>Hábiles</t>
        </is>
      </c>
      <c r="I75" s="22" t="n"/>
      <c r="J75" s="23">
        <f>IF(H75="Corridos",F75+J73,WORKDAY(J73,F75,Tabla4[Fecha]))</f>
        <v/>
      </c>
      <c r="K75" s="23">
        <f>IF(H75="Corridos",F75+M74,WORKDAY(M74,F75,Tabla4[Fecha]))</f>
        <v/>
      </c>
      <c r="L75" s="23" t="n"/>
      <c r="M75" s="3">
        <f>IF(ISBLANK(L75),K75,L75)</f>
        <v/>
      </c>
      <c r="N75" t="inlineStr">
        <is>
          <t>*Pueden ser más de 10 días</t>
        </is>
      </c>
    </row>
    <row r="76" ht="40.15" customHeight="1" thickBot="1">
      <c r="A76" s="9" t="n"/>
      <c r="B76" s="9" t="inlineStr">
        <is>
          <t>2024-2027</t>
        </is>
      </c>
      <c r="C76" s="9" t="inlineStr">
        <is>
          <t>Valorización</t>
        </is>
      </c>
      <c r="D76" s="9" t="inlineStr">
        <is>
          <t>Informe Técnico Valorización Preliminar</t>
        </is>
      </c>
      <c r="E76" s="9" t="inlineStr">
        <is>
          <t>CNE</t>
        </is>
      </c>
      <c r="F76" s="9" t="n">
        <v>90</v>
      </c>
      <c r="G76" s="9" t="inlineStr">
        <is>
          <t>Dias</t>
        </is>
      </c>
      <c r="H76" s="9" t="inlineStr">
        <is>
          <t>Hábiles</t>
        </is>
      </c>
      <c r="I76" s="10" t="n"/>
      <c r="J76" s="11">
        <f>IF(H76="Corridos",F76+MAX(J75,J45),WORKDAY(MAX(J75,J45),F76,Tabla4[Fecha]))</f>
        <v/>
      </c>
      <c r="K76" s="11">
        <f>IF(H76="Corridos",F76+MAX(K75,K45),WORKDAY(MAX(K75,K45),F76,Tabla4[Fecha]))</f>
        <v/>
      </c>
      <c r="L76" s="11" t="n"/>
      <c r="M76" s="11">
        <f>IF(ISBLANK(L76),K76,L76)</f>
        <v/>
      </c>
      <c r="N76" t="inlineStr">
        <is>
          <t>*Ojo con esta fecha, es el cuello de botella del proceso</t>
        </is>
      </c>
    </row>
    <row r="77" ht="53.45" customHeight="1" thickBot="1">
      <c r="A77" s="9" t="n"/>
      <c r="B77" s="9" t="inlineStr">
        <is>
          <t>2024-2027</t>
        </is>
      </c>
      <c r="C77" s="9" t="inlineStr">
        <is>
          <t>Valorización</t>
        </is>
      </c>
      <c r="D77" s="9" t="inlineStr">
        <is>
          <t>Observaciones Informe Técnico Valorización Preliminar</t>
        </is>
      </c>
      <c r="E77" s="9" t="inlineStr">
        <is>
          <t>Participantes e interesados</t>
        </is>
      </c>
      <c r="F77" s="9" t="n">
        <v>10</v>
      </c>
      <c r="G77" s="9" t="inlineStr">
        <is>
          <t>Dias</t>
        </is>
      </c>
      <c r="H77" s="9" t="inlineStr">
        <is>
          <t>Hábiles</t>
        </is>
      </c>
      <c r="I77" s="10" t="n"/>
      <c r="J77" s="11">
        <f>IF(H76="Corridos",F76+J76,WORKDAY(J76,F76,Tabla4[Fecha]))</f>
        <v/>
      </c>
      <c r="K77" s="11">
        <f>IF(H77="Corridos",F77+K76,WORKDAY(K76,F77,Tabla4[Fecha]))</f>
        <v/>
      </c>
      <c r="L77" s="11" t="n"/>
      <c r="M77" s="11">
        <f>IF(ISBLANK(L77),K77,L77)</f>
        <v/>
      </c>
      <c r="N77" t="inlineStr">
        <is>
          <t>*Debido a que se debe considerar la fecha en la que la CNE dispone de los dos informes (Zonal, dedicado y Nacional)</t>
        </is>
      </c>
    </row>
    <row r="78" ht="27" customHeight="1" thickBot="1">
      <c r="A78" s="9" t="n"/>
      <c r="B78" s="9" t="inlineStr">
        <is>
          <t>2024-2027</t>
        </is>
      </c>
      <c r="C78" s="9" t="inlineStr">
        <is>
          <t>Valorización</t>
        </is>
      </c>
      <c r="D78" s="9" t="inlineStr">
        <is>
          <t xml:space="preserve"> Informe Técnico Valorización Final</t>
        </is>
      </c>
      <c r="E78" s="9" t="inlineStr">
        <is>
          <t>CNE</t>
        </is>
      </c>
      <c r="F78" s="9" t="n">
        <v>20</v>
      </c>
      <c r="G78" s="9" t="inlineStr">
        <is>
          <t>Dias</t>
        </is>
      </c>
      <c r="H78" s="9" t="inlineStr">
        <is>
          <t>Hábiles</t>
        </is>
      </c>
      <c r="I78" s="10" t="n"/>
      <c r="J78" s="11">
        <f>IF(H77="Corridos",F77+J77,WORKDAY(J77,F77,Tabla4[Fecha]))</f>
        <v/>
      </c>
      <c r="K78" s="11">
        <f>IF(H78="Corridos",F78+K77,WORKDAY(K77,F78,Tabla4[Fecha]))</f>
        <v/>
      </c>
      <c r="L78" s="11" t="n"/>
      <c r="M78" s="11">
        <f>IF(ISBLANK(L78),K78,L78)</f>
        <v/>
      </c>
    </row>
    <row r="79" ht="40.15" customHeight="1" thickBot="1">
      <c r="A79" s="9" t="n"/>
      <c r="B79" s="9" t="inlineStr">
        <is>
          <t>2024-2027</t>
        </is>
      </c>
      <c r="C79" s="9" t="inlineStr">
        <is>
          <t>Valorización</t>
        </is>
      </c>
      <c r="D79" s="9" t="inlineStr">
        <is>
          <t>Presentación de Discrepancias al Panel de Expertos</t>
        </is>
      </c>
      <c r="E79" s="9" t="inlineStr">
        <is>
          <t>Participantes e interesados</t>
        </is>
      </c>
      <c r="F79" s="9" t="n">
        <v>10</v>
      </c>
      <c r="G79" s="9" t="inlineStr">
        <is>
          <t>Dias</t>
        </is>
      </c>
      <c r="H79" s="9" t="inlineStr">
        <is>
          <t>Hábiles</t>
        </is>
      </c>
      <c r="I79" s="10" t="n"/>
      <c r="J79" s="11">
        <f>IF(H78="Corridos",F78+J78,WORKDAY(J78,F78,Tabla4[Fecha]))</f>
        <v/>
      </c>
      <c r="K79" s="11">
        <f>IF(H79="Corridos",F79+K78,WORKDAY(K78,F79,Tabla4[Fecha]))</f>
        <v/>
      </c>
      <c r="L79" s="11" t="n"/>
      <c r="M79" s="11">
        <f>IF(ISBLANK(L79),K79,L79)</f>
        <v/>
      </c>
    </row>
    <row r="80" ht="27" customHeight="1" thickBot="1">
      <c r="A80" s="9" t="n"/>
      <c r="B80" s="9" t="inlineStr">
        <is>
          <t>2024-2027</t>
        </is>
      </c>
      <c r="C80" s="9" t="inlineStr">
        <is>
          <t>Valorización</t>
        </is>
      </c>
      <c r="D80" s="9" t="inlineStr">
        <is>
          <t>Audiencia Panel de Expertos</t>
        </is>
      </c>
      <c r="E80" s="9" t="inlineStr">
        <is>
          <t>Panel de Expertos</t>
        </is>
      </c>
      <c r="F80" s="9" t="n">
        <v>10</v>
      </c>
      <c r="G80" s="9" t="inlineStr">
        <is>
          <t>Dias</t>
        </is>
      </c>
      <c r="H80" s="9" t="inlineStr">
        <is>
          <t>Hábiles</t>
        </is>
      </c>
      <c r="I80" s="10" t="n"/>
      <c r="J80" s="11">
        <f>IF(H79="Corridos",F79+J79,WORKDAY(J79,F79,Tabla4[Fecha]))</f>
        <v/>
      </c>
      <c r="K80" s="11">
        <f>IF(H80="Corridos",F80+K79,WORKDAY(K79,F80,Tabla4[Fecha]))</f>
        <v/>
      </c>
      <c r="L80" s="11" t="n"/>
      <c r="M80" s="11">
        <f>IF(ISBLANK(L80),K80,L80)</f>
        <v/>
      </c>
      <c r="N80" t="inlineStr">
        <is>
          <t>*Audiencia puede ser en más de 10 días</t>
        </is>
      </c>
    </row>
    <row r="81" ht="27" customHeight="1" thickBot="1">
      <c r="A81" s="9" t="n"/>
      <c r="B81" s="9" t="inlineStr">
        <is>
          <t>2024-2027</t>
        </is>
      </c>
      <c r="C81" s="9" t="inlineStr">
        <is>
          <t>Valorización</t>
        </is>
      </c>
      <c r="D81" s="9" t="inlineStr">
        <is>
          <t>Dictamen Panel de Expertos</t>
        </is>
      </c>
      <c r="E81" s="9" t="inlineStr">
        <is>
          <t>Panel de Expertos</t>
        </is>
      </c>
      <c r="F81" s="9" t="n">
        <v>45</v>
      </c>
      <c r="G81" s="9" t="inlineStr">
        <is>
          <t>Dias</t>
        </is>
      </c>
      <c r="H81" s="9" t="inlineStr">
        <is>
          <t>Hábiles</t>
        </is>
      </c>
      <c r="I81" s="10" t="n"/>
      <c r="J81" s="11">
        <f>IF(H80="Corridos",F80+J80,WORKDAY(J80,F80,Tabla4[Fecha]))</f>
        <v/>
      </c>
      <c r="K81" s="11">
        <f>IF(H81="Corridos",F81+K80,WORKDAY(K80,F81,Tabla4[Fecha]))</f>
        <v/>
      </c>
      <c r="L81" s="11" t="n"/>
      <c r="M81" s="11">
        <f>IF(ISBLANK(L81),K81,L81)</f>
        <v/>
      </c>
    </row>
    <row r="82" ht="40.15" customHeight="1" thickBot="1">
      <c r="A82" s="9" t="n"/>
      <c r="B82" s="9" t="inlineStr">
        <is>
          <t>2024-2027</t>
        </is>
      </c>
      <c r="C82" s="9" t="inlineStr">
        <is>
          <t>Valorización</t>
        </is>
      </c>
      <c r="D82" s="9" t="inlineStr">
        <is>
          <t>Informe Técnico de Valorización definitivo</t>
        </is>
      </c>
      <c r="E82" s="9" t="inlineStr">
        <is>
          <t>CNE</t>
        </is>
      </c>
      <c r="F82" s="9" t="n">
        <v>20</v>
      </c>
      <c r="G82" s="9" t="inlineStr">
        <is>
          <t>Dias</t>
        </is>
      </c>
      <c r="H82" s="9" t="inlineStr">
        <is>
          <t>Hábiles</t>
        </is>
      </c>
      <c r="I82" s="10" t="n"/>
      <c r="J82" s="11">
        <f>IF(H81="Corridos",F81+J81,WORKDAY(J81,F81,Tabla4[Fecha]))</f>
        <v/>
      </c>
      <c r="K82" s="11">
        <f>IF(H82="Corridos",F82+K81,WORKDAY(K81,F82,Tabla4[Fecha]))</f>
        <v/>
      </c>
      <c r="L82" s="11" t="n"/>
      <c r="M82" s="11">
        <f>IF(ISBLANK(L82),K82,L82)</f>
        <v/>
      </c>
    </row>
    <row r="83" ht="27" customHeight="1" thickBot="1">
      <c r="A83" s="9" t="n"/>
      <c r="B83" s="9" t="inlineStr">
        <is>
          <t>2024-2027</t>
        </is>
      </c>
      <c r="C83" s="9" t="inlineStr">
        <is>
          <t>Valorización</t>
        </is>
      </c>
      <c r="D83" s="9" t="inlineStr">
        <is>
          <t>Decreto Expedido</t>
        </is>
      </c>
      <c r="E83" s="9" t="inlineStr">
        <is>
          <t>Ministerio de Energía</t>
        </is>
      </c>
      <c r="F83" s="9" t="n">
        <v>20</v>
      </c>
      <c r="G83" s="9" t="inlineStr">
        <is>
          <t>Dias</t>
        </is>
      </c>
      <c r="H83" s="9" t="inlineStr">
        <is>
          <t>Hábiles</t>
        </is>
      </c>
      <c r="I83" s="10" t="n"/>
      <c r="J83" s="11">
        <f>IF(H82="Corridos",F82+J82,WORKDAY(J82,F82,Tabla4[Fecha]))</f>
        <v/>
      </c>
      <c r="K83" s="11">
        <f>IF(H83="Corridos",F83+K82,WORKDAY(K82,F83,Tabla4[Fecha]))</f>
        <v/>
      </c>
      <c r="L83" s="11" t="n"/>
      <c r="M83" s="11">
        <f>IF(ISBLANK(L83),K83,L83)</f>
        <v/>
      </c>
    </row>
    <row r="84" ht="13.15" customHeight="1"/>
    <row r="85" ht="13.15" customHeight="1"/>
    <row r="86" ht="13.15" customHeight="1"/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G212" sqref="G212"/>
    </sheetView>
  </sheetViews>
  <sheetFormatPr baseColWidth="8" defaultColWidth="11.42578125" defaultRowHeight="13.15"/>
  <cols>
    <col width="13.28515625" customWidth="1" min="3" max="3"/>
    <col width="46.7109375" bestFit="1" customWidth="1" min="4" max="4"/>
    <col width="14.7109375" customWidth="1" min="6" max="6"/>
    <col width="14.28515625" customWidth="1" min="8" max="8"/>
  </cols>
  <sheetData>
    <row r="1">
      <c r="A1" t="inlineStr">
        <is>
          <t>Año</t>
        </is>
      </c>
      <c r="B1" t="inlineStr">
        <is>
          <t>Fecha</t>
        </is>
      </c>
      <c r="C1" t="inlineStr">
        <is>
          <t>Día</t>
        </is>
      </c>
      <c r="D1" t="inlineStr">
        <is>
          <t>Feriado</t>
        </is>
      </c>
      <c r="E1" t="inlineStr">
        <is>
          <t>Tipo</t>
        </is>
      </c>
      <c r="F1" t="inlineStr">
        <is>
          <t>Ámbito</t>
        </is>
      </c>
      <c r="G1" t="inlineStr">
        <is>
          <t>Región</t>
        </is>
      </c>
      <c r="H1" t="inlineStr">
        <is>
          <t>Irrenunciable</t>
        </is>
      </c>
    </row>
    <row r="2">
      <c r="A2" t="n">
        <v>2020</v>
      </c>
      <c r="B2" s="1" t="n">
        <v>43831</v>
      </c>
      <c r="C2" t="inlineStr">
        <is>
          <t>Miércoles</t>
        </is>
      </c>
      <c r="D2" t="inlineStr">
        <is>
          <t>Año Nuevo</t>
        </is>
      </c>
      <c r="E2" t="inlineStr">
        <is>
          <t>Civil</t>
        </is>
      </c>
      <c r="F2" t="inlineStr">
        <is>
          <t>Nacional</t>
        </is>
      </c>
      <c r="G2" t="inlineStr">
        <is>
          <t>Todas</t>
        </is>
      </c>
      <c r="H2" t="inlineStr">
        <is>
          <t>Sí</t>
        </is>
      </c>
    </row>
    <row r="3">
      <c r="A3" t="n">
        <v>2020</v>
      </c>
      <c r="B3" s="1" t="n">
        <v>43931</v>
      </c>
      <c r="C3" t="inlineStr">
        <is>
          <t>Viernes</t>
        </is>
      </c>
      <c r="D3" t="inlineStr">
        <is>
          <t>Viernes Santo</t>
        </is>
      </c>
      <c r="E3" t="inlineStr">
        <is>
          <t>Religioso</t>
        </is>
      </c>
      <c r="F3" t="inlineStr">
        <is>
          <t>Nacional</t>
        </is>
      </c>
      <c r="G3" t="inlineStr">
        <is>
          <t>Todas</t>
        </is>
      </c>
      <c r="H3" t="inlineStr">
        <is>
          <t>No</t>
        </is>
      </c>
    </row>
    <row r="4">
      <c r="A4" t="n">
        <v>2020</v>
      </c>
      <c r="B4" s="1" t="n">
        <v>43932</v>
      </c>
      <c r="C4" t="inlineStr">
        <is>
          <t>Sábado</t>
        </is>
      </c>
      <c r="D4" t="inlineStr">
        <is>
          <t>Sábado Santo</t>
        </is>
      </c>
      <c r="E4" t="inlineStr">
        <is>
          <t>Religioso</t>
        </is>
      </c>
      <c r="F4" t="inlineStr">
        <is>
          <t>Nacional</t>
        </is>
      </c>
      <c r="G4" t="inlineStr">
        <is>
          <t>Todas</t>
        </is>
      </c>
      <c r="H4" t="inlineStr">
        <is>
          <t>No</t>
        </is>
      </c>
    </row>
    <row r="5">
      <c r="A5" t="n">
        <v>2020</v>
      </c>
      <c r="B5" s="1" t="n">
        <v>43952</v>
      </c>
      <c r="C5" t="inlineStr">
        <is>
          <t>Viernes</t>
        </is>
      </c>
      <c r="D5" t="inlineStr">
        <is>
          <t>Día Nacional del Trabajo</t>
        </is>
      </c>
      <c r="E5" t="inlineStr">
        <is>
          <t>Civil</t>
        </is>
      </c>
      <c r="F5" t="inlineStr">
        <is>
          <t>Nacional</t>
        </is>
      </c>
      <c r="G5" t="inlineStr">
        <is>
          <t>Todas</t>
        </is>
      </c>
      <c r="H5" t="inlineStr">
        <is>
          <t>Sí</t>
        </is>
      </c>
    </row>
    <row r="6">
      <c r="A6" t="n">
        <v>2020</v>
      </c>
      <c r="B6" s="1" t="n">
        <v>43972</v>
      </c>
      <c r="C6" t="inlineStr">
        <is>
          <t>Jueves</t>
        </is>
      </c>
      <c r="D6" t="inlineStr">
        <is>
          <t>Día de las Glorias Navales</t>
        </is>
      </c>
      <c r="E6" t="inlineStr">
        <is>
          <t>Civil</t>
        </is>
      </c>
      <c r="F6" t="inlineStr">
        <is>
          <t>Nacional</t>
        </is>
      </c>
      <c r="G6" t="inlineStr">
        <is>
          <t>Todas</t>
        </is>
      </c>
      <c r="H6" t="inlineStr">
        <is>
          <t>No</t>
        </is>
      </c>
    </row>
    <row r="7">
      <c r="A7" t="n">
        <v>2020</v>
      </c>
      <c r="B7" s="1" t="n">
        <v>44011</v>
      </c>
      <c r="C7" t="inlineStr">
        <is>
          <t>Lunes</t>
        </is>
      </c>
      <c r="D7" t="inlineStr">
        <is>
          <t>San Pedro y San Pablo</t>
        </is>
      </c>
      <c r="E7" t="inlineStr">
        <is>
          <t>Religioso</t>
        </is>
      </c>
      <c r="F7" t="inlineStr">
        <is>
          <t>Nacional</t>
        </is>
      </c>
      <c r="G7" t="inlineStr">
        <is>
          <t>Todas</t>
        </is>
      </c>
      <c r="H7" t="inlineStr">
        <is>
          <t>No</t>
        </is>
      </c>
    </row>
    <row r="8">
      <c r="A8" t="n">
        <v>2020</v>
      </c>
      <c r="B8" s="1" t="n">
        <v>44028</v>
      </c>
      <c r="C8" t="inlineStr">
        <is>
          <t>Jueves</t>
        </is>
      </c>
      <c r="D8" t="inlineStr">
        <is>
          <t>Virgen del Carmen</t>
        </is>
      </c>
      <c r="E8" t="inlineStr">
        <is>
          <t>Religioso</t>
        </is>
      </c>
      <c r="F8" t="inlineStr">
        <is>
          <t>Nacional</t>
        </is>
      </c>
      <c r="G8" t="inlineStr">
        <is>
          <t>Todas</t>
        </is>
      </c>
      <c r="H8" t="inlineStr">
        <is>
          <t>No</t>
        </is>
      </c>
    </row>
    <row r="9">
      <c r="A9" t="n">
        <v>2020</v>
      </c>
      <c r="B9" s="1" t="n">
        <v>44058</v>
      </c>
      <c r="C9" t="inlineStr">
        <is>
          <t>Sábado</t>
        </is>
      </c>
      <c r="D9" t="inlineStr">
        <is>
          <t>Asunción de la Virgen</t>
        </is>
      </c>
      <c r="E9" t="inlineStr">
        <is>
          <t>Religioso</t>
        </is>
      </c>
      <c r="F9" t="inlineStr">
        <is>
          <t>Nacional</t>
        </is>
      </c>
      <c r="G9" t="inlineStr">
        <is>
          <t>Todas</t>
        </is>
      </c>
      <c r="H9" t="inlineStr">
        <is>
          <t>No</t>
        </is>
      </c>
    </row>
    <row r="10">
      <c r="A10" t="n">
        <v>2020</v>
      </c>
      <c r="B10" s="1" t="n">
        <v>44092</v>
      </c>
      <c r="C10" t="inlineStr">
        <is>
          <t>Viernes</t>
        </is>
      </c>
      <c r="D10" t="inlineStr">
        <is>
          <t>Independencia Nacional</t>
        </is>
      </c>
      <c r="E10" t="inlineStr">
        <is>
          <t>Civil</t>
        </is>
      </c>
      <c r="F10" t="inlineStr">
        <is>
          <t>Nacional</t>
        </is>
      </c>
      <c r="G10" t="inlineStr">
        <is>
          <t>Todas</t>
        </is>
      </c>
      <c r="H10" t="inlineStr">
        <is>
          <t>Sí</t>
        </is>
      </c>
    </row>
    <row r="11">
      <c r="A11" t="n">
        <v>2020</v>
      </c>
      <c r="B11" s="1" t="n">
        <v>44093</v>
      </c>
      <c r="C11" t="inlineStr">
        <is>
          <t>Sábado</t>
        </is>
      </c>
      <c r="D11" t="inlineStr">
        <is>
          <t>Glorias del Ejército</t>
        </is>
      </c>
      <c r="E11" t="inlineStr">
        <is>
          <t>Civil</t>
        </is>
      </c>
      <c r="F11" t="inlineStr">
        <is>
          <t>Nacional</t>
        </is>
      </c>
      <c r="G11" t="inlineStr">
        <is>
          <t>Todas</t>
        </is>
      </c>
      <c r="H11" t="inlineStr">
        <is>
          <t>Sí</t>
        </is>
      </c>
    </row>
    <row r="12">
      <c r="A12" t="n">
        <v>2020</v>
      </c>
      <c r="B12" s="1" t="n">
        <v>44116</v>
      </c>
      <c r="C12" t="inlineStr">
        <is>
          <t>Lunes</t>
        </is>
      </c>
      <c r="D12" t="inlineStr">
        <is>
          <t>Encuentro de Dos Mundos</t>
        </is>
      </c>
      <c r="E12" t="inlineStr">
        <is>
          <t>Civil</t>
        </is>
      </c>
      <c r="F12" t="inlineStr">
        <is>
          <t>Nacional</t>
        </is>
      </c>
      <c r="G12" t="inlineStr">
        <is>
          <t>Todas</t>
        </is>
      </c>
      <c r="H12" t="inlineStr">
        <is>
          <t>No</t>
        </is>
      </c>
    </row>
    <row r="13">
      <c r="A13" t="n">
        <v>2020</v>
      </c>
      <c r="B13" s="1" t="n">
        <v>44129</v>
      </c>
      <c r="C13" t="inlineStr">
        <is>
          <t>Domingo</t>
        </is>
      </c>
      <c r="D13" t="inlineStr">
        <is>
          <t>Plebiscito Nacional</t>
        </is>
      </c>
      <c r="E13" t="inlineStr">
        <is>
          <t>Electoral</t>
        </is>
      </c>
      <c r="F13" t="inlineStr">
        <is>
          <t>Nacional</t>
        </is>
      </c>
      <c r="G13" t="inlineStr">
        <is>
          <t>Todas</t>
        </is>
      </c>
      <c r="H13" t="inlineStr">
        <is>
          <t>Sí</t>
        </is>
      </c>
    </row>
    <row r="14">
      <c r="A14" t="n">
        <v>2020</v>
      </c>
      <c r="B14" s="1" t="n">
        <v>44135</v>
      </c>
      <c r="C14" t="inlineStr">
        <is>
          <t>Sábado</t>
        </is>
      </c>
      <c r="D14" t="inlineStr">
        <is>
          <t>Iglesias Evangélicas y Protestantes</t>
        </is>
      </c>
      <c r="E14" t="inlineStr">
        <is>
          <t>Religioso</t>
        </is>
      </c>
      <c r="F14" t="inlineStr">
        <is>
          <t>Nacional</t>
        </is>
      </c>
      <c r="G14" t="inlineStr">
        <is>
          <t>Todas</t>
        </is>
      </c>
      <c r="H14" t="inlineStr">
        <is>
          <t>No</t>
        </is>
      </c>
    </row>
    <row r="15">
      <c r="A15" t="n">
        <v>2020</v>
      </c>
      <c r="B15" s="1" t="n">
        <v>44136</v>
      </c>
      <c r="C15" t="inlineStr">
        <is>
          <t>Domingo</t>
        </is>
      </c>
      <c r="D15" t="inlineStr">
        <is>
          <t>Todos los Santos</t>
        </is>
      </c>
      <c r="E15" t="inlineStr">
        <is>
          <t>Religioso</t>
        </is>
      </c>
      <c r="F15" t="inlineStr">
        <is>
          <t>Nacional</t>
        </is>
      </c>
      <c r="G15" t="inlineStr">
        <is>
          <t>Todas</t>
        </is>
      </c>
      <c r="H15" t="inlineStr">
        <is>
          <t>No</t>
        </is>
      </c>
    </row>
    <row r="16">
      <c r="A16" t="n">
        <v>2020</v>
      </c>
      <c r="B16" s="1" t="n">
        <v>44173</v>
      </c>
      <c r="C16" t="inlineStr">
        <is>
          <t>Martes</t>
        </is>
      </c>
      <c r="D16" t="inlineStr">
        <is>
          <t>Inmaculada Concepción</t>
        </is>
      </c>
      <c r="E16" t="inlineStr">
        <is>
          <t>Religioso</t>
        </is>
      </c>
      <c r="F16" t="inlineStr">
        <is>
          <t>Nacional</t>
        </is>
      </c>
      <c r="G16" t="inlineStr">
        <is>
          <t>Todas</t>
        </is>
      </c>
      <c r="H16" t="inlineStr">
        <is>
          <t>No</t>
        </is>
      </c>
    </row>
    <row r="17">
      <c r="A17" t="n">
        <v>2020</v>
      </c>
      <c r="B17" s="1" t="n">
        <v>44190</v>
      </c>
      <c r="C17" t="inlineStr">
        <is>
          <t>Viernes</t>
        </is>
      </c>
      <c r="D17" t="inlineStr">
        <is>
          <t>Navidad</t>
        </is>
      </c>
      <c r="E17" t="inlineStr">
        <is>
          <t>Religioso</t>
        </is>
      </c>
      <c r="F17" t="inlineStr">
        <is>
          <t>Nacional</t>
        </is>
      </c>
      <c r="G17" t="inlineStr">
        <is>
          <t>Todas</t>
        </is>
      </c>
      <c r="H17" t="inlineStr">
        <is>
          <t>Sí</t>
        </is>
      </c>
    </row>
    <row r="18">
      <c r="A18" t="n">
        <v>2020</v>
      </c>
      <c r="B18" s="1" t="n">
        <v>44196</v>
      </c>
      <c r="C18" t="inlineStr">
        <is>
          <t>Jueves</t>
        </is>
      </c>
      <c r="D18" t="inlineStr">
        <is>
          <t>Feriado bancario fin de año</t>
        </is>
      </c>
      <c r="E18" t="inlineStr">
        <is>
          <t>Bancario</t>
        </is>
      </c>
      <c r="F18" t="inlineStr">
        <is>
          <t>Bancario</t>
        </is>
      </c>
      <c r="G18" t="inlineStr">
        <is>
          <t>Todas</t>
        </is>
      </c>
      <c r="H18" t="inlineStr">
        <is>
          <t>No</t>
        </is>
      </c>
    </row>
    <row r="19">
      <c r="A19" t="n">
        <v>2021</v>
      </c>
      <c r="B19" s="1" t="n">
        <v>44197</v>
      </c>
      <c r="C19" t="inlineStr">
        <is>
          <t>Viernes</t>
        </is>
      </c>
      <c r="D19" t="inlineStr">
        <is>
          <t>Año Nuevo</t>
        </is>
      </c>
      <c r="E19" t="inlineStr">
        <is>
          <t>Civil</t>
        </is>
      </c>
      <c r="F19" t="inlineStr">
        <is>
          <t>Nacional</t>
        </is>
      </c>
      <c r="G19" t="inlineStr">
        <is>
          <t>Todas</t>
        </is>
      </c>
      <c r="H19" t="inlineStr">
        <is>
          <t>Sí</t>
        </is>
      </c>
    </row>
    <row r="20">
      <c r="A20" t="n">
        <v>2021</v>
      </c>
      <c r="B20" s="1" t="n">
        <v>44288</v>
      </c>
      <c r="C20" t="inlineStr">
        <is>
          <t>Viernes</t>
        </is>
      </c>
      <c r="D20" t="inlineStr">
        <is>
          <t>Viernes Santo</t>
        </is>
      </c>
      <c r="E20" t="inlineStr">
        <is>
          <t>Religioso</t>
        </is>
      </c>
      <c r="F20" t="inlineStr">
        <is>
          <t>Nacional</t>
        </is>
      </c>
      <c r="G20" t="inlineStr">
        <is>
          <t>Todas</t>
        </is>
      </c>
      <c r="H20" t="inlineStr">
        <is>
          <t>No</t>
        </is>
      </c>
    </row>
    <row r="21">
      <c r="A21" t="n">
        <v>2021</v>
      </c>
      <c r="B21" s="1" t="n">
        <v>44289</v>
      </c>
      <c r="C21" t="inlineStr">
        <is>
          <t>Sábado</t>
        </is>
      </c>
      <c r="D21" t="inlineStr">
        <is>
          <t>Sábado Santo</t>
        </is>
      </c>
      <c r="E21" t="inlineStr">
        <is>
          <t>Religioso</t>
        </is>
      </c>
      <c r="F21" t="inlineStr">
        <is>
          <t>Nacional</t>
        </is>
      </c>
      <c r="G21" t="inlineStr">
        <is>
          <t>Todas</t>
        </is>
      </c>
      <c r="H21" t="inlineStr">
        <is>
          <t>No</t>
        </is>
      </c>
    </row>
    <row r="22">
      <c r="A22" t="n">
        <v>2021</v>
      </c>
      <c r="B22" s="1" t="n">
        <v>44317</v>
      </c>
      <c r="C22" t="inlineStr">
        <is>
          <t>Sábado</t>
        </is>
      </c>
      <c r="D22" t="inlineStr">
        <is>
          <t>Día Nacional del Trabajo</t>
        </is>
      </c>
      <c r="E22" t="inlineStr">
        <is>
          <t>Civil</t>
        </is>
      </c>
      <c r="F22" t="inlineStr">
        <is>
          <t>Nacional</t>
        </is>
      </c>
      <c r="G22" t="inlineStr">
        <is>
          <t>Todas</t>
        </is>
      </c>
      <c r="H22" t="inlineStr">
        <is>
          <t>Sí</t>
        </is>
      </c>
    </row>
    <row r="23">
      <c r="A23" t="n">
        <v>2021</v>
      </c>
      <c r="B23" s="1" t="n">
        <v>44331</v>
      </c>
      <c r="C23" t="inlineStr">
        <is>
          <t>Sábado</t>
        </is>
      </c>
      <c r="D23" t="inlineStr">
        <is>
          <t>Elecciones municipales y convencionales</t>
        </is>
      </c>
      <c r="E23" t="inlineStr">
        <is>
          <t>Electoral</t>
        </is>
      </c>
      <c r="F23" t="inlineStr">
        <is>
          <t>Nacional</t>
        </is>
      </c>
      <c r="G23" t="inlineStr">
        <is>
          <t>Todas</t>
        </is>
      </c>
      <c r="H23" t="inlineStr">
        <is>
          <t>Sí</t>
        </is>
      </c>
    </row>
    <row r="24">
      <c r="A24" t="n">
        <v>2021</v>
      </c>
      <c r="B24" s="1" t="n">
        <v>44332</v>
      </c>
      <c r="C24" t="inlineStr">
        <is>
          <t>Domingo</t>
        </is>
      </c>
      <c r="D24" t="inlineStr">
        <is>
          <t>Elecciones municipales y convencionales</t>
        </is>
      </c>
      <c r="E24" t="inlineStr">
        <is>
          <t>Electoral</t>
        </is>
      </c>
      <c r="F24" t="inlineStr">
        <is>
          <t>Nacional</t>
        </is>
      </c>
      <c r="G24" t="inlineStr">
        <is>
          <t>Todas</t>
        </is>
      </c>
      <c r="H24" t="inlineStr">
        <is>
          <t>Sí</t>
        </is>
      </c>
    </row>
    <row r="25">
      <c r="A25" t="n">
        <v>2021</v>
      </c>
      <c r="B25" s="1" t="n">
        <v>44337</v>
      </c>
      <c r="C25" t="inlineStr">
        <is>
          <t>Viernes</t>
        </is>
      </c>
      <c r="D25" t="inlineStr">
        <is>
          <t>Día de las Glorias Navales</t>
        </is>
      </c>
      <c r="E25" t="inlineStr">
        <is>
          <t>Civil</t>
        </is>
      </c>
      <c r="F25" t="inlineStr">
        <is>
          <t>Nacional</t>
        </is>
      </c>
      <c r="G25" t="inlineStr">
        <is>
          <t>Todas</t>
        </is>
      </c>
      <c r="H25" t="inlineStr">
        <is>
          <t>No</t>
        </is>
      </c>
    </row>
    <row r="26">
      <c r="A26" t="n">
        <v>2021</v>
      </c>
      <c r="B26" s="1" t="n">
        <v>44360</v>
      </c>
      <c r="C26" t="inlineStr">
        <is>
          <t>Domingo</t>
        </is>
      </c>
      <c r="D26" t="inlineStr">
        <is>
          <t>Elecciones gobernadores segunda vuelta</t>
        </is>
      </c>
      <c r="E26" t="inlineStr">
        <is>
          <t>Electoral</t>
        </is>
      </c>
      <c r="F26" t="inlineStr">
        <is>
          <t>Parcial</t>
        </is>
      </c>
      <c r="G26" t="inlineStr">
        <is>
          <t>Varias regiones</t>
        </is>
      </c>
      <c r="H26" t="inlineStr">
        <is>
          <t>Sí</t>
        </is>
      </c>
    </row>
    <row r="27">
      <c r="A27" t="n">
        <v>2021</v>
      </c>
      <c r="B27" s="1" t="n">
        <v>44368</v>
      </c>
      <c r="C27" t="inlineStr">
        <is>
          <t>Lunes</t>
        </is>
      </c>
      <c r="D27" t="inlineStr">
        <is>
          <t>Día Nacional de los Pueblos Indígenas</t>
        </is>
      </c>
      <c r="E27" t="inlineStr">
        <is>
          <t>Civil</t>
        </is>
      </c>
      <c r="F27" t="inlineStr">
        <is>
          <t>Nacional</t>
        </is>
      </c>
      <c r="G27" t="inlineStr">
        <is>
          <t>Todas</t>
        </is>
      </c>
      <c r="H27" t="inlineStr">
        <is>
          <t>No</t>
        </is>
      </c>
    </row>
    <row r="28">
      <c r="A28" t="n">
        <v>2021</v>
      </c>
      <c r="B28" s="1" t="n">
        <v>44375</v>
      </c>
      <c r="C28" t="inlineStr">
        <is>
          <t>Lunes</t>
        </is>
      </c>
      <c r="D28" t="inlineStr">
        <is>
          <t>San Pedro y San Pablo</t>
        </is>
      </c>
      <c r="E28" t="inlineStr">
        <is>
          <t>Religioso</t>
        </is>
      </c>
      <c r="F28" t="inlineStr">
        <is>
          <t>Nacional</t>
        </is>
      </c>
      <c r="G28" t="inlineStr">
        <is>
          <t>Todas</t>
        </is>
      </c>
      <c r="H28" t="inlineStr">
        <is>
          <t>No</t>
        </is>
      </c>
    </row>
    <row r="29">
      <c r="A29" t="n">
        <v>2021</v>
      </c>
      <c r="B29" s="1" t="n">
        <v>44393</v>
      </c>
      <c r="C29" t="inlineStr">
        <is>
          <t>Viernes</t>
        </is>
      </c>
      <c r="D29" t="inlineStr">
        <is>
          <t>Virgen del Carmen</t>
        </is>
      </c>
      <c r="E29" t="inlineStr">
        <is>
          <t>Religioso</t>
        </is>
      </c>
      <c r="F29" t="inlineStr">
        <is>
          <t>Nacional</t>
        </is>
      </c>
      <c r="G29" t="inlineStr">
        <is>
          <t>Todas</t>
        </is>
      </c>
      <c r="H29" t="inlineStr">
        <is>
          <t>No</t>
        </is>
      </c>
    </row>
    <row r="30">
      <c r="A30" t="n">
        <v>2021</v>
      </c>
      <c r="B30" s="1" t="n">
        <v>44395</v>
      </c>
      <c r="C30" t="inlineStr">
        <is>
          <t>Domingo</t>
        </is>
      </c>
      <c r="D30" t="inlineStr">
        <is>
          <t>Primarias presidenciales</t>
        </is>
      </c>
      <c r="E30" t="inlineStr">
        <is>
          <t>Electoral</t>
        </is>
      </c>
      <c r="F30" t="inlineStr">
        <is>
          <t>Nacional</t>
        </is>
      </c>
      <c r="G30" t="inlineStr">
        <is>
          <t>Todas</t>
        </is>
      </c>
      <c r="H30" t="inlineStr">
        <is>
          <t>Sí</t>
        </is>
      </c>
    </row>
    <row r="31">
      <c r="A31" t="n">
        <v>2021</v>
      </c>
      <c r="B31" s="1" t="n">
        <v>44423</v>
      </c>
      <c r="C31" t="inlineStr">
        <is>
          <t>Domingo</t>
        </is>
      </c>
      <c r="D31" t="inlineStr">
        <is>
          <t>Asunción de la Virgen</t>
        </is>
      </c>
      <c r="E31" t="inlineStr">
        <is>
          <t>Religioso</t>
        </is>
      </c>
      <c r="F31" t="inlineStr">
        <is>
          <t>Nacional</t>
        </is>
      </c>
      <c r="G31" t="inlineStr">
        <is>
          <t>Todas</t>
        </is>
      </c>
      <c r="H31" t="inlineStr">
        <is>
          <t>No</t>
        </is>
      </c>
    </row>
    <row r="32">
      <c r="A32" t="n">
        <v>2021</v>
      </c>
      <c r="B32" s="1" t="n">
        <v>44456</v>
      </c>
      <c r="C32" t="inlineStr">
        <is>
          <t>Viernes</t>
        </is>
      </c>
      <c r="D32" t="inlineStr">
        <is>
          <t>Feriado adicional Fiestas Patrias</t>
        </is>
      </c>
      <c r="E32" t="inlineStr">
        <is>
          <t>Civil</t>
        </is>
      </c>
      <c r="F32" t="inlineStr">
        <is>
          <t>Nacional</t>
        </is>
      </c>
      <c r="G32" t="inlineStr">
        <is>
          <t>Todas</t>
        </is>
      </c>
      <c r="H32" t="inlineStr">
        <is>
          <t>No</t>
        </is>
      </c>
    </row>
    <row r="33">
      <c r="A33" t="n">
        <v>2021</v>
      </c>
      <c r="B33" s="1" t="n">
        <v>44457</v>
      </c>
      <c r="C33" t="inlineStr">
        <is>
          <t>Sábado</t>
        </is>
      </c>
      <c r="D33" t="inlineStr">
        <is>
          <t>Independencia Nacional</t>
        </is>
      </c>
      <c r="E33" t="inlineStr">
        <is>
          <t>Civil</t>
        </is>
      </c>
      <c r="F33" t="inlineStr">
        <is>
          <t>Nacional</t>
        </is>
      </c>
      <c r="G33" t="inlineStr">
        <is>
          <t>Todas</t>
        </is>
      </c>
      <c r="H33" t="inlineStr">
        <is>
          <t>Sí</t>
        </is>
      </c>
    </row>
    <row r="34">
      <c r="A34" t="n">
        <v>2021</v>
      </c>
      <c r="B34" s="1" t="n">
        <v>44458</v>
      </c>
      <c r="C34" t="inlineStr">
        <is>
          <t>Domingo</t>
        </is>
      </c>
      <c r="D34" t="inlineStr">
        <is>
          <t>Glorias del Ejército</t>
        </is>
      </c>
      <c r="E34" t="inlineStr">
        <is>
          <t>Civil</t>
        </is>
      </c>
      <c r="F34" t="inlineStr">
        <is>
          <t>Nacional</t>
        </is>
      </c>
      <c r="G34" t="inlineStr">
        <is>
          <t>Todas</t>
        </is>
      </c>
      <c r="H34" t="inlineStr">
        <is>
          <t>Sí</t>
        </is>
      </c>
    </row>
    <row r="35">
      <c r="A35" t="n">
        <v>2021</v>
      </c>
      <c r="B35" s="1" t="n">
        <v>44480</v>
      </c>
      <c r="C35" t="inlineStr">
        <is>
          <t>Lunes</t>
        </is>
      </c>
      <c r="D35" t="inlineStr">
        <is>
          <t>Encuentro de Dos Mundos</t>
        </is>
      </c>
      <c r="E35" t="inlineStr">
        <is>
          <t>Civil</t>
        </is>
      </c>
      <c r="F35" t="inlineStr">
        <is>
          <t>Nacional</t>
        </is>
      </c>
      <c r="G35" t="inlineStr">
        <is>
          <t>Todas</t>
        </is>
      </c>
      <c r="H35" t="inlineStr">
        <is>
          <t>No</t>
        </is>
      </c>
    </row>
    <row r="36">
      <c r="A36" t="n">
        <v>2021</v>
      </c>
      <c r="B36" s="1" t="n">
        <v>44500</v>
      </c>
      <c r="C36" t="inlineStr">
        <is>
          <t>Domingo</t>
        </is>
      </c>
      <c r="D36" t="inlineStr">
        <is>
          <t>Iglesias Evangélicas y Protestantes</t>
        </is>
      </c>
      <c r="E36" t="inlineStr">
        <is>
          <t>Religioso</t>
        </is>
      </c>
      <c r="F36" t="inlineStr">
        <is>
          <t>Nacional</t>
        </is>
      </c>
      <c r="G36" t="inlineStr">
        <is>
          <t>Todas</t>
        </is>
      </c>
      <c r="H36" t="inlineStr">
        <is>
          <t>No</t>
        </is>
      </c>
    </row>
    <row r="37">
      <c r="A37" t="n">
        <v>2021</v>
      </c>
      <c r="B37" s="1" t="n">
        <v>44501</v>
      </c>
      <c r="C37" t="inlineStr">
        <is>
          <t>Lunes</t>
        </is>
      </c>
      <c r="D37" t="inlineStr">
        <is>
          <t>Todos los Santos</t>
        </is>
      </c>
      <c r="E37" t="inlineStr">
        <is>
          <t>Religioso</t>
        </is>
      </c>
      <c r="F37" t="inlineStr">
        <is>
          <t>Nacional</t>
        </is>
      </c>
      <c r="G37" t="inlineStr">
        <is>
          <t>Todas</t>
        </is>
      </c>
      <c r="H37" t="inlineStr">
        <is>
          <t>No</t>
        </is>
      </c>
    </row>
    <row r="38">
      <c r="A38" t="n">
        <v>2021</v>
      </c>
      <c r="B38" s="1" t="n">
        <v>44521</v>
      </c>
      <c r="C38" t="inlineStr">
        <is>
          <t>Domingo</t>
        </is>
      </c>
      <c r="D38" t="inlineStr">
        <is>
          <t>Elecciones presidenciales primera vuelta</t>
        </is>
      </c>
      <c r="E38" t="inlineStr">
        <is>
          <t>Electoral</t>
        </is>
      </c>
      <c r="F38" t="inlineStr">
        <is>
          <t>Nacional</t>
        </is>
      </c>
      <c r="G38" t="inlineStr">
        <is>
          <t>Todas</t>
        </is>
      </c>
      <c r="H38" t="inlineStr">
        <is>
          <t>Sí</t>
        </is>
      </c>
    </row>
    <row r="39">
      <c r="A39" t="n">
        <v>2021</v>
      </c>
      <c r="B39" s="1" t="n">
        <v>44538</v>
      </c>
      <c r="C39" t="inlineStr">
        <is>
          <t>Miércoles</t>
        </is>
      </c>
      <c r="D39" t="inlineStr">
        <is>
          <t>Inmaculada Concepción</t>
        </is>
      </c>
      <c r="E39" t="inlineStr">
        <is>
          <t>Religioso</t>
        </is>
      </c>
      <c r="F39" t="inlineStr">
        <is>
          <t>Nacional</t>
        </is>
      </c>
      <c r="G39" t="inlineStr">
        <is>
          <t>Todas</t>
        </is>
      </c>
      <c r="H39" t="inlineStr">
        <is>
          <t>No</t>
        </is>
      </c>
    </row>
    <row r="40">
      <c r="A40" t="n">
        <v>2021</v>
      </c>
      <c r="B40" s="1" t="n">
        <v>44549</v>
      </c>
      <c r="C40" t="inlineStr">
        <is>
          <t>Domingo</t>
        </is>
      </c>
      <c r="D40" t="inlineStr">
        <is>
          <t>Elecciones presidenciales segunda vuelta</t>
        </is>
      </c>
      <c r="E40" t="inlineStr">
        <is>
          <t>Electoral</t>
        </is>
      </c>
      <c r="F40" t="inlineStr">
        <is>
          <t>Nacional</t>
        </is>
      </c>
      <c r="G40" t="inlineStr">
        <is>
          <t>Todas</t>
        </is>
      </c>
      <c r="H40" t="inlineStr">
        <is>
          <t>Sí</t>
        </is>
      </c>
    </row>
    <row r="41">
      <c r="A41" t="n">
        <v>2021</v>
      </c>
      <c r="B41" s="1" t="n">
        <v>44555</v>
      </c>
      <c r="C41" t="inlineStr">
        <is>
          <t>Sábado</t>
        </is>
      </c>
      <c r="D41" t="inlineStr">
        <is>
          <t>Navidad</t>
        </is>
      </c>
      <c r="E41" t="inlineStr">
        <is>
          <t>Religioso</t>
        </is>
      </c>
      <c r="F41" t="inlineStr">
        <is>
          <t>Nacional</t>
        </is>
      </c>
      <c r="G41" t="inlineStr">
        <is>
          <t>Todas</t>
        </is>
      </c>
      <c r="H41" t="inlineStr">
        <is>
          <t>Sí</t>
        </is>
      </c>
    </row>
    <row r="42">
      <c r="A42" t="n">
        <v>2021</v>
      </c>
      <c r="B42" s="1" t="n">
        <v>44561</v>
      </c>
      <c r="C42" t="inlineStr">
        <is>
          <t>Viernes</t>
        </is>
      </c>
      <c r="D42" t="inlineStr">
        <is>
          <t>Feriado bancario fin de año</t>
        </is>
      </c>
      <c r="E42" t="inlineStr">
        <is>
          <t>Bancario</t>
        </is>
      </c>
      <c r="F42" t="inlineStr">
        <is>
          <t>Bancario</t>
        </is>
      </c>
      <c r="G42" t="inlineStr">
        <is>
          <t>Todas</t>
        </is>
      </c>
      <c r="H42" t="inlineStr">
        <is>
          <t>No</t>
        </is>
      </c>
    </row>
    <row r="43">
      <c r="A43" t="n">
        <v>2022</v>
      </c>
      <c r="B43" s="1" t="n">
        <v>44562</v>
      </c>
      <c r="C43" t="inlineStr">
        <is>
          <t>Sábado</t>
        </is>
      </c>
      <c r="D43" t="inlineStr">
        <is>
          <t>Año Nuevo</t>
        </is>
      </c>
      <c r="E43" t="inlineStr">
        <is>
          <t>Civil</t>
        </is>
      </c>
      <c r="F43" t="inlineStr">
        <is>
          <t>Nacional</t>
        </is>
      </c>
      <c r="G43" t="inlineStr">
        <is>
          <t>Todas</t>
        </is>
      </c>
      <c r="H43" t="inlineStr">
        <is>
          <t>Sí</t>
        </is>
      </c>
    </row>
    <row r="44">
      <c r="A44" t="n">
        <v>2022</v>
      </c>
      <c r="B44" s="1" t="n">
        <v>44666</v>
      </c>
      <c r="C44" t="inlineStr">
        <is>
          <t>Viernes</t>
        </is>
      </c>
      <c r="D44" t="inlineStr">
        <is>
          <t>Viernes Santo</t>
        </is>
      </c>
      <c r="E44" t="inlineStr">
        <is>
          <t>Religioso</t>
        </is>
      </c>
      <c r="F44" t="inlineStr">
        <is>
          <t>Nacional</t>
        </is>
      </c>
      <c r="G44" t="inlineStr">
        <is>
          <t>Todas</t>
        </is>
      </c>
      <c r="H44" t="inlineStr">
        <is>
          <t>No</t>
        </is>
      </c>
    </row>
    <row r="45">
      <c r="A45" t="n">
        <v>2022</v>
      </c>
      <c r="B45" s="1" t="n">
        <v>44667</v>
      </c>
      <c r="C45" t="inlineStr">
        <is>
          <t>Sábado</t>
        </is>
      </c>
      <c r="D45" t="inlineStr">
        <is>
          <t>Sábado Santo</t>
        </is>
      </c>
      <c r="E45" t="inlineStr">
        <is>
          <t>Religioso</t>
        </is>
      </c>
      <c r="F45" t="inlineStr">
        <is>
          <t>Nacional</t>
        </is>
      </c>
      <c r="G45" t="inlineStr">
        <is>
          <t>Todas</t>
        </is>
      </c>
      <c r="H45" t="inlineStr">
        <is>
          <t>No</t>
        </is>
      </c>
    </row>
    <row r="46">
      <c r="A46" t="n">
        <v>2022</v>
      </c>
      <c r="B46" s="1" t="n">
        <v>44682</v>
      </c>
      <c r="C46" t="inlineStr">
        <is>
          <t>Domingo</t>
        </is>
      </c>
      <c r="D46" t="inlineStr">
        <is>
          <t>Día Nacional del Trabajo</t>
        </is>
      </c>
      <c r="E46" t="inlineStr">
        <is>
          <t>Civil</t>
        </is>
      </c>
      <c r="F46" t="inlineStr">
        <is>
          <t>Nacional</t>
        </is>
      </c>
      <c r="G46" t="inlineStr">
        <is>
          <t>Todas</t>
        </is>
      </c>
      <c r="H46" t="inlineStr">
        <is>
          <t>Sí</t>
        </is>
      </c>
    </row>
    <row r="47">
      <c r="A47" t="n">
        <v>2022</v>
      </c>
      <c r="B47" s="1" t="n">
        <v>44702</v>
      </c>
      <c r="C47" t="inlineStr">
        <is>
          <t>Sábado</t>
        </is>
      </c>
      <c r="D47" t="inlineStr">
        <is>
          <t>Día de las Glorias Navales</t>
        </is>
      </c>
      <c r="E47" t="inlineStr">
        <is>
          <t>Civil</t>
        </is>
      </c>
      <c r="F47" t="inlineStr">
        <is>
          <t>Nacional</t>
        </is>
      </c>
      <c r="G47" t="inlineStr">
        <is>
          <t>Todas</t>
        </is>
      </c>
      <c r="H47" t="inlineStr">
        <is>
          <t>No</t>
        </is>
      </c>
    </row>
    <row r="48">
      <c r="A48" t="n">
        <v>2022</v>
      </c>
      <c r="B48" s="1" t="n">
        <v>44733</v>
      </c>
      <c r="C48" t="inlineStr">
        <is>
          <t>Martes</t>
        </is>
      </c>
      <c r="D48" t="inlineStr">
        <is>
          <t>Día Nacional de los Pueblos Indígenas</t>
        </is>
      </c>
      <c r="E48" t="inlineStr">
        <is>
          <t>Civil</t>
        </is>
      </c>
      <c r="F48" t="inlineStr">
        <is>
          <t>Nacional</t>
        </is>
      </c>
      <c r="G48" t="inlineStr">
        <is>
          <t>Todas</t>
        </is>
      </c>
      <c r="H48" t="inlineStr">
        <is>
          <t>No</t>
        </is>
      </c>
    </row>
    <row r="49">
      <c r="A49" t="n">
        <v>2022</v>
      </c>
      <c r="B49" s="1" t="n">
        <v>44739</v>
      </c>
      <c r="C49" t="inlineStr">
        <is>
          <t>Lunes</t>
        </is>
      </c>
      <c r="D49" t="inlineStr">
        <is>
          <t>San Pedro y San Pablo</t>
        </is>
      </c>
      <c r="E49" t="inlineStr">
        <is>
          <t>Religioso</t>
        </is>
      </c>
      <c r="F49" t="inlineStr">
        <is>
          <t>Nacional</t>
        </is>
      </c>
      <c r="G49" t="inlineStr">
        <is>
          <t>Todas</t>
        </is>
      </c>
      <c r="H49" t="inlineStr">
        <is>
          <t>No</t>
        </is>
      </c>
    </row>
    <row r="50">
      <c r="A50" t="n">
        <v>2022</v>
      </c>
      <c r="B50" s="1" t="n">
        <v>44758</v>
      </c>
      <c r="C50" t="inlineStr">
        <is>
          <t>Sábado</t>
        </is>
      </c>
      <c r="D50" t="inlineStr">
        <is>
          <t>Virgen del Carmen</t>
        </is>
      </c>
      <c r="E50" t="inlineStr">
        <is>
          <t>Religioso</t>
        </is>
      </c>
      <c r="F50" t="inlineStr">
        <is>
          <t>Nacional</t>
        </is>
      </c>
      <c r="G50" t="inlineStr">
        <is>
          <t>Todas</t>
        </is>
      </c>
      <c r="H50" t="inlineStr">
        <is>
          <t>No</t>
        </is>
      </c>
    </row>
    <row r="51">
      <c r="A51" t="n">
        <v>2022</v>
      </c>
      <c r="B51" s="1" t="n">
        <v>44788</v>
      </c>
      <c r="C51" t="inlineStr">
        <is>
          <t>Lunes</t>
        </is>
      </c>
      <c r="D51" t="inlineStr">
        <is>
          <t>Asunción de la Virgen</t>
        </is>
      </c>
      <c r="E51" t="inlineStr">
        <is>
          <t>Religioso</t>
        </is>
      </c>
      <c r="F51" t="inlineStr">
        <is>
          <t>Nacional</t>
        </is>
      </c>
      <c r="G51" t="inlineStr">
        <is>
          <t>Todas</t>
        </is>
      </c>
      <c r="H51" t="inlineStr">
        <is>
          <t>No</t>
        </is>
      </c>
    </row>
    <row r="52">
      <c r="A52" t="n">
        <v>2022</v>
      </c>
      <c r="B52" s="1" t="n">
        <v>44808</v>
      </c>
      <c r="C52" t="inlineStr">
        <is>
          <t>Domingo</t>
        </is>
      </c>
      <c r="D52" t="inlineStr">
        <is>
          <t>Plebiscito de salida</t>
        </is>
      </c>
      <c r="E52" t="inlineStr">
        <is>
          <t>Electoral</t>
        </is>
      </c>
      <c r="F52" t="inlineStr">
        <is>
          <t>Nacional</t>
        </is>
      </c>
      <c r="G52" t="inlineStr">
        <is>
          <t>Todas</t>
        </is>
      </c>
      <c r="H52" t="inlineStr">
        <is>
          <t>Sí</t>
        </is>
      </c>
    </row>
    <row r="53">
      <c r="A53" t="n">
        <v>2022</v>
      </c>
      <c r="B53" s="1" t="n">
        <v>44820</v>
      </c>
      <c r="C53" t="inlineStr">
        <is>
          <t>Viernes</t>
        </is>
      </c>
      <c r="D53" t="inlineStr">
        <is>
          <t>Feriado adicional Fiestas Patrias</t>
        </is>
      </c>
      <c r="E53" t="inlineStr">
        <is>
          <t>Civil</t>
        </is>
      </c>
      <c r="F53" t="inlineStr">
        <is>
          <t>Nacional</t>
        </is>
      </c>
      <c r="G53" t="inlineStr">
        <is>
          <t>Todas</t>
        </is>
      </c>
      <c r="H53" t="inlineStr">
        <is>
          <t>No</t>
        </is>
      </c>
    </row>
    <row r="54">
      <c r="A54" t="n">
        <v>2022</v>
      </c>
      <c r="B54" s="1" t="n">
        <v>44822</v>
      </c>
      <c r="C54" t="inlineStr">
        <is>
          <t>Domingo</t>
        </is>
      </c>
      <c r="D54" t="inlineStr">
        <is>
          <t>Independencia Nacional</t>
        </is>
      </c>
      <c r="E54" t="inlineStr">
        <is>
          <t>Civil</t>
        </is>
      </c>
      <c r="F54" t="inlineStr">
        <is>
          <t>Nacional</t>
        </is>
      </c>
      <c r="G54" t="inlineStr">
        <is>
          <t>Todas</t>
        </is>
      </c>
      <c r="H54" t="inlineStr">
        <is>
          <t>Sí</t>
        </is>
      </c>
    </row>
    <row r="55">
      <c r="A55" t="n">
        <v>2022</v>
      </c>
      <c r="B55" s="1" t="n">
        <v>44823</v>
      </c>
      <c r="C55" t="inlineStr">
        <is>
          <t>Lunes</t>
        </is>
      </c>
      <c r="D55" t="inlineStr">
        <is>
          <t>Glorias del Ejército</t>
        </is>
      </c>
      <c r="E55" t="inlineStr">
        <is>
          <t>Civil</t>
        </is>
      </c>
      <c r="F55" t="inlineStr">
        <is>
          <t>Nacional</t>
        </is>
      </c>
      <c r="G55" t="inlineStr">
        <is>
          <t>Todas</t>
        </is>
      </c>
      <c r="H55" t="inlineStr">
        <is>
          <t>Sí</t>
        </is>
      </c>
    </row>
    <row r="56">
      <c r="A56" t="n">
        <v>2022</v>
      </c>
      <c r="B56" s="1" t="n">
        <v>44844</v>
      </c>
      <c r="C56" t="inlineStr">
        <is>
          <t>Lunes</t>
        </is>
      </c>
      <c r="D56" t="inlineStr">
        <is>
          <t>Encuentro de Dos Mundos</t>
        </is>
      </c>
      <c r="E56" t="inlineStr">
        <is>
          <t>Civil</t>
        </is>
      </c>
      <c r="F56" t="inlineStr">
        <is>
          <t>Nacional</t>
        </is>
      </c>
      <c r="G56" t="inlineStr">
        <is>
          <t>Todas</t>
        </is>
      </c>
      <c r="H56" t="inlineStr">
        <is>
          <t>No</t>
        </is>
      </c>
    </row>
    <row r="57">
      <c r="A57" t="n">
        <v>2022</v>
      </c>
      <c r="B57" s="1" t="n">
        <v>44865</v>
      </c>
      <c r="C57" t="inlineStr">
        <is>
          <t>Lunes</t>
        </is>
      </c>
      <c r="D57" t="inlineStr">
        <is>
          <t>Iglesias Evangélicas y Protestantes</t>
        </is>
      </c>
      <c r="E57" t="inlineStr">
        <is>
          <t>Religioso</t>
        </is>
      </c>
      <c r="F57" t="inlineStr">
        <is>
          <t>Nacional</t>
        </is>
      </c>
      <c r="G57" t="inlineStr">
        <is>
          <t>Todas</t>
        </is>
      </c>
      <c r="H57" t="inlineStr">
        <is>
          <t>No</t>
        </is>
      </c>
    </row>
    <row r="58">
      <c r="A58" t="n">
        <v>2022</v>
      </c>
      <c r="B58" s="1" t="n">
        <v>44866</v>
      </c>
      <c r="C58" t="inlineStr">
        <is>
          <t>Martes</t>
        </is>
      </c>
      <c r="D58" t="inlineStr">
        <is>
          <t>Todos los Santos</t>
        </is>
      </c>
      <c r="E58" t="inlineStr">
        <is>
          <t>Religioso</t>
        </is>
      </c>
      <c r="F58" t="inlineStr">
        <is>
          <t>Nacional</t>
        </is>
      </c>
      <c r="G58" t="inlineStr">
        <is>
          <t>Todas</t>
        </is>
      </c>
      <c r="H58" t="inlineStr">
        <is>
          <t>No</t>
        </is>
      </c>
    </row>
    <row r="59">
      <c r="A59" t="n">
        <v>2022</v>
      </c>
      <c r="B59" s="1" t="n">
        <v>44903</v>
      </c>
      <c r="C59" t="inlineStr">
        <is>
          <t>Jueves</t>
        </is>
      </c>
      <c r="D59" t="inlineStr">
        <is>
          <t>Inmaculada Concepción</t>
        </is>
      </c>
      <c r="E59" t="inlineStr">
        <is>
          <t>Religioso</t>
        </is>
      </c>
      <c r="F59" t="inlineStr">
        <is>
          <t>Nacional</t>
        </is>
      </c>
      <c r="G59" t="inlineStr">
        <is>
          <t>Todas</t>
        </is>
      </c>
      <c r="H59" t="inlineStr">
        <is>
          <t>No</t>
        </is>
      </c>
    </row>
    <row r="60">
      <c r="A60" t="n">
        <v>2022</v>
      </c>
      <c r="B60" s="1" t="n">
        <v>44920</v>
      </c>
      <c r="C60" t="inlineStr">
        <is>
          <t>Domingo</t>
        </is>
      </c>
      <c r="D60" t="inlineStr">
        <is>
          <t>Navidad</t>
        </is>
      </c>
      <c r="E60" t="inlineStr">
        <is>
          <t>Religioso</t>
        </is>
      </c>
      <c r="F60" t="inlineStr">
        <is>
          <t>Nacional</t>
        </is>
      </c>
      <c r="G60" t="inlineStr">
        <is>
          <t>Todas</t>
        </is>
      </c>
      <c r="H60" t="inlineStr">
        <is>
          <t>Sí</t>
        </is>
      </c>
    </row>
    <row r="61">
      <c r="A61" t="n">
        <v>2022</v>
      </c>
      <c r="B61" s="1" t="n">
        <v>44926</v>
      </c>
      <c r="C61" t="inlineStr">
        <is>
          <t>Sábado</t>
        </is>
      </c>
      <c r="D61" t="inlineStr">
        <is>
          <t>Feriado bancario fin de año</t>
        </is>
      </c>
      <c r="E61" t="inlineStr">
        <is>
          <t>Bancario</t>
        </is>
      </c>
      <c r="F61" t="inlineStr">
        <is>
          <t>Bancario</t>
        </is>
      </c>
      <c r="G61" t="inlineStr">
        <is>
          <t>Todas</t>
        </is>
      </c>
      <c r="H61" t="inlineStr">
        <is>
          <t>No</t>
        </is>
      </c>
    </row>
    <row r="62">
      <c r="A62" t="n">
        <v>2023</v>
      </c>
      <c r="B62" s="1" t="n">
        <v>44927</v>
      </c>
      <c r="C62" t="inlineStr">
        <is>
          <t>Domingo</t>
        </is>
      </c>
      <c r="D62" t="inlineStr">
        <is>
          <t>Año Nuevo</t>
        </is>
      </c>
      <c r="E62" t="inlineStr">
        <is>
          <t>Civil</t>
        </is>
      </c>
      <c r="F62" t="inlineStr">
        <is>
          <t>Nacional</t>
        </is>
      </c>
      <c r="G62" t="inlineStr">
        <is>
          <t>Todas</t>
        </is>
      </c>
      <c r="H62" t="inlineStr">
        <is>
          <t>Sí</t>
        </is>
      </c>
    </row>
    <row r="63">
      <c r="A63" t="n">
        <v>2023</v>
      </c>
      <c r="B63" s="1" t="n">
        <v>44928</v>
      </c>
      <c r="C63" t="inlineStr">
        <is>
          <t>Lunes</t>
        </is>
      </c>
      <c r="D63" t="inlineStr">
        <is>
          <t>Feriado adicional Año Nuevo</t>
        </is>
      </c>
      <c r="E63" t="inlineStr">
        <is>
          <t>Civil</t>
        </is>
      </c>
      <c r="F63" t="inlineStr">
        <is>
          <t>Nacional</t>
        </is>
      </c>
      <c r="G63" t="inlineStr">
        <is>
          <t>Todas</t>
        </is>
      </c>
      <c r="H63" t="inlineStr">
        <is>
          <t>No</t>
        </is>
      </c>
    </row>
    <row r="64">
      <c r="A64" t="n">
        <v>2023</v>
      </c>
      <c r="B64" s="1" t="n">
        <v>45023</v>
      </c>
      <c r="C64" t="inlineStr">
        <is>
          <t>Viernes</t>
        </is>
      </c>
      <c r="D64" t="inlineStr">
        <is>
          <t>Viernes Santo</t>
        </is>
      </c>
      <c r="E64" t="inlineStr">
        <is>
          <t>Religioso</t>
        </is>
      </c>
      <c r="F64" t="inlineStr">
        <is>
          <t>Nacional</t>
        </is>
      </c>
      <c r="G64" t="inlineStr">
        <is>
          <t>Todas</t>
        </is>
      </c>
      <c r="H64" t="inlineStr">
        <is>
          <t>No</t>
        </is>
      </c>
    </row>
    <row r="65">
      <c r="A65" t="n">
        <v>2023</v>
      </c>
      <c r="B65" s="1" t="n">
        <v>45024</v>
      </c>
      <c r="C65" t="inlineStr">
        <is>
          <t>Sábado</t>
        </is>
      </c>
      <c r="D65" t="inlineStr">
        <is>
          <t>Sábado Santo</t>
        </is>
      </c>
      <c r="E65" t="inlineStr">
        <is>
          <t>Religioso</t>
        </is>
      </c>
      <c r="F65" t="inlineStr">
        <is>
          <t>Nacional</t>
        </is>
      </c>
      <c r="G65" t="inlineStr">
        <is>
          <t>Todas</t>
        </is>
      </c>
      <c r="H65" t="inlineStr">
        <is>
          <t>No</t>
        </is>
      </c>
    </row>
    <row r="66">
      <c r="A66" t="n">
        <v>2023</v>
      </c>
      <c r="B66" s="1" t="n">
        <v>45047</v>
      </c>
      <c r="C66" t="inlineStr">
        <is>
          <t>Lunes</t>
        </is>
      </c>
      <c r="D66" t="inlineStr">
        <is>
          <t>Día Nacional del Trabajo</t>
        </is>
      </c>
      <c r="E66" t="inlineStr">
        <is>
          <t>Civil</t>
        </is>
      </c>
      <c r="F66" t="inlineStr">
        <is>
          <t>Nacional</t>
        </is>
      </c>
      <c r="G66" t="inlineStr">
        <is>
          <t>Todas</t>
        </is>
      </c>
      <c r="H66" t="inlineStr">
        <is>
          <t>Sí</t>
        </is>
      </c>
    </row>
    <row r="67">
      <c r="A67" t="n">
        <v>2023</v>
      </c>
      <c r="B67" s="1" t="n">
        <v>45053</v>
      </c>
      <c r="C67" t="inlineStr">
        <is>
          <t>Domingo</t>
        </is>
      </c>
      <c r="D67" t="inlineStr">
        <is>
          <t>Elección consejeros constitucionales</t>
        </is>
      </c>
      <c r="E67" t="inlineStr">
        <is>
          <t>Electoral</t>
        </is>
      </c>
      <c r="F67" t="inlineStr">
        <is>
          <t>Nacional</t>
        </is>
      </c>
      <c r="G67" t="inlineStr">
        <is>
          <t>Todas</t>
        </is>
      </c>
      <c r="H67" t="inlineStr">
        <is>
          <t>Sí</t>
        </is>
      </c>
    </row>
    <row r="68">
      <c r="A68" t="n">
        <v>2023</v>
      </c>
      <c r="B68" s="1" t="n">
        <v>45067</v>
      </c>
      <c r="C68" t="inlineStr">
        <is>
          <t>Domingo</t>
        </is>
      </c>
      <c r="D68" t="inlineStr">
        <is>
          <t>Día de las Glorias Navales</t>
        </is>
      </c>
      <c r="E68" t="inlineStr">
        <is>
          <t>Civil</t>
        </is>
      </c>
      <c r="F68" t="inlineStr">
        <is>
          <t>Nacional</t>
        </is>
      </c>
      <c r="G68" t="inlineStr">
        <is>
          <t>Todas</t>
        </is>
      </c>
      <c r="H68" t="inlineStr">
        <is>
          <t>No</t>
        </is>
      </c>
    </row>
    <row r="69">
      <c r="A69" t="n">
        <v>2023</v>
      </c>
      <c r="B69" s="1" t="n">
        <v>45098</v>
      </c>
      <c r="C69" t="inlineStr">
        <is>
          <t>Miércoles</t>
        </is>
      </c>
      <c r="D69" t="inlineStr">
        <is>
          <t>Día Nacional de los Pueblos Indígenas</t>
        </is>
      </c>
      <c r="E69" t="inlineStr">
        <is>
          <t>Civil</t>
        </is>
      </c>
      <c r="F69" t="inlineStr">
        <is>
          <t>Nacional</t>
        </is>
      </c>
      <c r="G69" t="inlineStr">
        <is>
          <t>Todas</t>
        </is>
      </c>
      <c r="H69" t="inlineStr">
        <is>
          <t>No</t>
        </is>
      </c>
    </row>
    <row r="70">
      <c r="A70" t="n">
        <v>2023</v>
      </c>
      <c r="B70" s="1" t="n">
        <v>45103</v>
      </c>
      <c r="C70" t="inlineStr">
        <is>
          <t>Lunes</t>
        </is>
      </c>
      <c r="D70" t="inlineStr">
        <is>
          <t>San Pedro y San Pablo</t>
        </is>
      </c>
      <c r="E70" t="inlineStr">
        <is>
          <t>Religioso</t>
        </is>
      </c>
      <c r="F70" t="inlineStr">
        <is>
          <t>Nacional</t>
        </is>
      </c>
      <c r="G70" t="inlineStr">
        <is>
          <t>Todas</t>
        </is>
      </c>
      <c r="H70" t="inlineStr">
        <is>
          <t>No</t>
        </is>
      </c>
    </row>
    <row r="71">
      <c r="A71" t="n">
        <v>2023</v>
      </c>
      <c r="B71" s="1" t="n">
        <v>45123</v>
      </c>
      <c r="C71" t="inlineStr">
        <is>
          <t>Domingo</t>
        </is>
      </c>
      <c r="D71" t="inlineStr">
        <is>
          <t>Virgen del Carmen</t>
        </is>
      </c>
      <c r="E71" t="inlineStr">
        <is>
          <t>Religioso</t>
        </is>
      </c>
      <c r="F71" t="inlineStr">
        <is>
          <t>Nacional</t>
        </is>
      </c>
      <c r="G71" t="inlineStr">
        <is>
          <t>Todas</t>
        </is>
      </c>
      <c r="H71" t="inlineStr">
        <is>
          <t>No</t>
        </is>
      </c>
    </row>
    <row r="72">
      <c r="A72" t="n">
        <v>2023</v>
      </c>
      <c r="B72" s="1" t="n">
        <v>45153</v>
      </c>
      <c r="C72" t="inlineStr">
        <is>
          <t>Martes</t>
        </is>
      </c>
      <c r="D72" t="inlineStr">
        <is>
          <t>Asunción de la Virgen</t>
        </is>
      </c>
      <c r="E72" t="inlineStr">
        <is>
          <t>Religioso</t>
        </is>
      </c>
      <c r="F72" t="inlineStr">
        <is>
          <t>Nacional</t>
        </is>
      </c>
      <c r="G72" t="inlineStr">
        <is>
          <t>Todas</t>
        </is>
      </c>
      <c r="H72" t="inlineStr">
        <is>
          <t>No</t>
        </is>
      </c>
    </row>
    <row r="73">
      <c r="A73" t="n">
        <v>2023</v>
      </c>
      <c r="B73" s="1" t="n">
        <v>45187</v>
      </c>
      <c r="C73" t="inlineStr">
        <is>
          <t>Lunes</t>
        </is>
      </c>
      <c r="D73" t="inlineStr">
        <is>
          <t>Independencia Nacional</t>
        </is>
      </c>
      <c r="E73" t="inlineStr">
        <is>
          <t>Civil</t>
        </is>
      </c>
      <c r="F73" t="inlineStr">
        <is>
          <t>Nacional</t>
        </is>
      </c>
      <c r="G73" t="inlineStr">
        <is>
          <t>Todas</t>
        </is>
      </c>
      <c r="H73" t="inlineStr">
        <is>
          <t>Sí</t>
        </is>
      </c>
    </row>
    <row r="74">
      <c r="A74" t="n">
        <v>2023</v>
      </c>
      <c r="B74" s="1" t="n">
        <v>45188</v>
      </c>
      <c r="C74" t="inlineStr">
        <is>
          <t>Martes</t>
        </is>
      </c>
      <c r="D74" t="inlineStr">
        <is>
          <t>Glorias del Ejército</t>
        </is>
      </c>
      <c r="E74" t="inlineStr">
        <is>
          <t>Civil</t>
        </is>
      </c>
      <c r="F74" t="inlineStr">
        <is>
          <t>Nacional</t>
        </is>
      </c>
      <c r="G74" t="inlineStr">
        <is>
          <t>Todas</t>
        </is>
      </c>
      <c r="H74" t="inlineStr">
        <is>
          <t>Sí</t>
        </is>
      </c>
    </row>
    <row r="75">
      <c r="A75" t="n">
        <v>2023</v>
      </c>
      <c r="B75" s="1" t="n">
        <v>45208</v>
      </c>
      <c r="C75" t="inlineStr">
        <is>
          <t>Lunes</t>
        </is>
      </c>
      <c r="D75" t="inlineStr">
        <is>
          <t>Encuentro de Dos Mundos</t>
        </is>
      </c>
      <c r="E75" t="inlineStr">
        <is>
          <t>Civil</t>
        </is>
      </c>
      <c r="F75" t="inlineStr">
        <is>
          <t>Nacional</t>
        </is>
      </c>
      <c r="G75" t="inlineStr">
        <is>
          <t>Todas</t>
        </is>
      </c>
      <c r="H75" t="inlineStr">
        <is>
          <t>No</t>
        </is>
      </c>
    </row>
    <row r="76">
      <c r="A76" t="n">
        <v>2023</v>
      </c>
      <c r="B76" s="1" t="n">
        <v>45226</v>
      </c>
      <c r="C76" t="inlineStr">
        <is>
          <t>Viernes</t>
        </is>
      </c>
      <c r="D76" t="inlineStr">
        <is>
          <t>Iglesias Evangélicas y Protestantes</t>
        </is>
      </c>
      <c r="E76" t="inlineStr">
        <is>
          <t>Religioso</t>
        </is>
      </c>
      <c r="F76" t="inlineStr">
        <is>
          <t>Nacional</t>
        </is>
      </c>
      <c r="G76" t="inlineStr">
        <is>
          <t>Todas</t>
        </is>
      </c>
      <c r="H76" t="inlineStr">
        <is>
          <t>No</t>
        </is>
      </c>
    </row>
    <row r="77">
      <c r="A77" t="n">
        <v>2023</v>
      </c>
      <c r="B77" s="1" t="n">
        <v>45231</v>
      </c>
      <c r="C77" t="inlineStr">
        <is>
          <t>Miércoles</t>
        </is>
      </c>
      <c r="D77" t="inlineStr">
        <is>
          <t>Todos los Santos</t>
        </is>
      </c>
      <c r="E77" t="inlineStr">
        <is>
          <t>Religioso</t>
        </is>
      </c>
      <c r="F77" t="inlineStr">
        <is>
          <t>Nacional</t>
        </is>
      </c>
      <c r="G77" t="inlineStr">
        <is>
          <t>Todas</t>
        </is>
      </c>
      <c r="H77" t="inlineStr">
        <is>
          <t>No</t>
        </is>
      </c>
    </row>
    <row r="78">
      <c r="A78" t="n">
        <v>2023</v>
      </c>
      <c r="B78" s="1" t="n">
        <v>45268</v>
      </c>
      <c r="C78" t="inlineStr">
        <is>
          <t>Viernes</t>
        </is>
      </c>
      <c r="D78" t="inlineStr">
        <is>
          <t>Inmaculada Concepción</t>
        </is>
      </c>
      <c r="E78" t="inlineStr">
        <is>
          <t>Religioso</t>
        </is>
      </c>
      <c r="F78" t="inlineStr">
        <is>
          <t>Nacional</t>
        </is>
      </c>
      <c r="G78" t="inlineStr">
        <is>
          <t>Todas</t>
        </is>
      </c>
      <c r="H78" t="inlineStr">
        <is>
          <t>No</t>
        </is>
      </c>
    </row>
    <row r="79">
      <c r="A79" t="n">
        <v>2023</v>
      </c>
      <c r="B79" s="1" t="n">
        <v>45277</v>
      </c>
      <c r="C79" t="inlineStr">
        <is>
          <t>Domingo</t>
        </is>
      </c>
      <c r="D79" t="inlineStr">
        <is>
          <t>Plebiscito constitucional</t>
        </is>
      </c>
      <c r="E79" t="inlineStr">
        <is>
          <t>Electoral</t>
        </is>
      </c>
      <c r="F79" t="inlineStr">
        <is>
          <t>Nacional</t>
        </is>
      </c>
      <c r="G79" t="inlineStr">
        <is>
          <t>Todas</t>
        </is>
      </c>
      <c r="H79" t="inlineStr">
        <is>
          <t>Sí</t>
        </is>
      </c>
    </row>
    <row r="80">
      <c r="A80" t="n">
        <v>2023</v>
      </c>
      <c r="B80" s="1" t="n">
        <v>45285</v>
      </c>
      <c r="C80" t="inlineStr">
        <is>
          <t>Lunes</t>
        </is>
      </c>
      <c r="D80" t="inlineStr">
        <is>
          <t>Navidad</t>
        </is>
      </c>
      <c r="E80" t="inlineStr">
        <is>
          <t>Religioso</t>
        </is>
      </c>
      <c r="F80" t="inlineStr">
        <is>
          <t>Nacional</t>
        </is>
      </c>
      <c r="G80" t="inlineStr">
        <is>
          <t>Todas</t>
        </is>
      </c>
      <c r="H80" t="inlineStr">
        <is>
          <t>Sí</t>
        </is>
      </c>
    </row>
    <row r="81">
      <c r="A81" t="n">
        <v>2023</v>
      </c>
      <c r="B81" s="1" t="n">
        <v>45291</v>
      </c>
      <c r="C81" t="inlineStr">
        <is>
          <t>Domingo</t>
        </is>
      </c>
      <c r="D81" t="inlineStr">
        <is>
          <t>Feriado bancario fin de año</t>
        </is>
      </c>
      <c r="E81" t="inlineStr">
        <is>
          <t>Bancario</t>
        </is>
      </c>
      <c r="F81" t="inlineStr">
        <is>
          <t>Bancario</t>
        </is>
      </c>
      <c r="G81" t="inlineStr">
        <is>
          <t>Todas</t>
        </is>
      </c>
      <c r="H81" t="inlineStr">
        <is>
          <t>No</t>
        </is>
      </c>
    </row>
    <row r="82">
      <c r="A82" t="n">
        <v>2024</v>
      </c>
      <c r="B82" s="1" t="n">
        <v>45292</v>
      </c>
      <c r="C82" t="inlineStr">
        <is>
          <t>Lunes</t>
        </is>
      </c>
      <c r="D82" t="inlineStr">
        <is>
          <t>Año Nuevo</t>
        </is>
      </c>
      <c r="E82" t="inlineStr">
        <is>
          <t>Civil</t>
        </is>
      </c>
      <c r="F82" t="inlineStr">
        <is>
          <t>Nacional</t>
        </is>
      </c>
      <c r="G82" t="inlineStr">
        <is>
          <t>Todas</t>
        </is>
      </c>
      <c r="H82" t="inlineStr">
        <is>
          <t>Sí</t>
        </is>
      </c>
    </row>
    <row r="83">
      <c r="A83" t="n">
        <v>2024</v>
      </c>
      <c r="B83" s="1" t="n">
        <v>45380</v>
      </c>
      <c r="C83" t="inlineStr">
        <is>
          <t>Viernes</t>
        </is>
      </c>
      <c r="D83" t="inlineStr">
        <is>
          <t>Viernes Santo</t>
        </is>
      </c>
      <c r="E83" t="inlineStr">
        <is>
          <t>Religioso</t>
        </is>
      </c>
      <c r="F83" t="inlineStr">
        <is>
          <t>Nacional</t>
        </is>
      </c>
      <c r="G83" t="inlineStr">
        <is>
          <t>Todas</t>
        </is>
      </c>
      <c r="H83" t="inlineStr">
        <is>
          <t>No</t>
        </is>
      </c>
    </row>
    <row r="84">
      <c r="A84" t="n">
        <v>2024</v>
      </c>
      <c r="B84" s="1" t="n">
        <v>45381</v>
      </c>
      <c r="C84" t="inlineStr">
        <is>
          <t>Sábado</t>
        </is>
      </c>
      <c r="D84" t="inlineStr">
        <is>
          <t>Sábado Santo</t>
        </is>
      </c>
      <c r="E84" t="inlineStr">
        <is>
          <t>Religioso</t>
        </is>
      </c>
      <c r="F84" t="inlineStr">
        <is>
          <t>Nacional</t>
        </is>
      </c>
      <c r="G84" t="inlineStr">
        <is>
          <t>Todas</t>
        </is>
      </c>
      <c r="H84" t="inlineStr">
        <is>
          <t>No</t>
        </is>
      </c>
    </row>
    <row r="85">
      <c r="A85" t="n">
        <v>2024</v>
      </c>
      <c r="B85" s="1" t="n">
        <v>45413</v>
      </c>
      <c r="C85" t="inlineStr">
        <is>
          <t>Miércoles</t>
        </is>
      </c>
      <c r="D85" t="inlineStr">
        <is>
          <t>Día Nacional del Trabajo</t>
        </is>
      </c>
      <c r="E85" t="inlineStr">
        <is>
          <t>Civil</t>
        </is>
      </c>
      <c r="F85" t="inlineStr">
        <is>
          <t>Nacional</t>
        </is>
      </c>
      <c r="G85" t="inlineStr">
        <is>
          <t>Todas</t>
        </is>
      </c>
      <c r="H85" t="inlineStr">
        <is>
          <t>Sí</t>
        </is>
      </c>
    </row>
    <row r="86">
      <c r="A86" t="n">
        <v>2024</v>
      </c>
      <c r="B86" s="1" t="n">
        <v>45433</v>
      </c>
      <c r="C86" t="inlineStr">
        <is>
          <t>Martes</t>
        </is>
      </c>
      <c r="D86" t="inlineStr">
        <is>
          <t>Día de las Glorias Navales</t>
        </is>
      </c>
      <c r="E86" t="inlineStr">
        <is>
          <t>Civil</t>
        </is>
      </c>
      <c r="F86" t="inlineStr">
        <is>
          <t>Nacional</t>
        </is>
      </c>
      <c r="G86" t="inlineStr">
        <is>
          <t>Todas</t>
        </is>
      </c>
      <c r="H86" t="inlineStr">
        <is>
          <t>No</t>
        </is>
      </c>
    </row>
    <row r="87">
      <c r="A87" t="n">
        <v>2024</v>
      </c>
      <c r="B87" s="1" t="n">
        <v>45452</v>
      </c>
      <c r="C87" t="inlineStr">
        <is>
          <t>Domingo</t>
        </is>
      </c>
      <c r="D87" t="inlineStr">
        <is>
          <t>Primarias alcaldes y gobernadores</t>
        </is>
      </c>
      <c r="E87" t="inlineStr">
        <is>
          <t>Electoral</t>
        </is>
      </c>
      <c r="F87" t="inlineStr">
        <is>
          <t>Parcial</t>
        </is>
      </c>
      <c r="G87" t="inlineStr">
        <is>
          <t>Varias comunas y regiones</t>
        </is>
      </c>
      <c r="H87" t="inlineStr">
        <is>
          <t>Sí</t>
        </is>
      </c>
    </row>
    <row r="88">
      <c r="A88" t="n">
        <v>2024</v>
      </c>
      <c r="B88" s="1" t="n">
        <v>45463</v>
      </c>
      <c r="C88" t="inlineStr">
        <is>
          <t>Jueves</t>
        </is>
      </c>
      <c r="D88" t="inlineStr">
        <is>
          <t>Día Nacional de los Pueblos Indígenas</t>
        </is>
      </c>
      <c r="E88" t="inlineStr">
        <is>
          <t>Civil</t>
        </is>
      </c>
      <c r="F88" t="inlineStr">
        <is>
          <t>Nacional</t>
        </is>
      </c>
      <c r="G88" t="inlineStr">
        <is>
          <t>Todas</t>
        </is>
      </c>
      <c r="H88" t="inlineStr">
        <is>
          <t>No</t>
        </is>
      </c>
    </row>
    <row r="89">
      <c r="A89" t="n">
        <v>2024</v>
      </c>
      <c r="B89" s="1" t="n">
        <v>45472</v>
      </c>
      <c r="C89" t="inlineStr">
        <is>
          <t>Sábado</t>
        </is>
      </c>
      <c r="D89" t="inlineStr">
        <is>
          <t>San Pedro y San Pablo</t>
        </is>
      </c>
      <c r="E89" t="inlineStr">
        <is>
          <t>Religioso</t>
        </is>
      </c>
      <c r="F89" t="inlineStr">
        <is>
          <t>Nacional</t>
        </is>
      </c>
      <c r="G89" t="inlineStr">
        <is>
          <t>Todas</t>
        </is>
      </c>
      <c r="H89" t="inlineStr">
        <is>
          <t>No</t>
        </is>
      </c>
    </row>
    <row r="90">
      <c r="A90" t="n">
        <v>2024</v>
      </c>
      <c r="B90" s="1" t="n">
        <v>45489</v>
      </c>
      <c r="C90" t="inlineStr">
        <is>
          <t>Martes</t>
        </is>
      </c>
      <c r="D90" t="inlineStr">
        <is>
          <t>Virgen del Carmen</t>
        </is>
      </c>
      <c r="E90" t="inlineStr">
        <is>
          <t>Religioso</t>
        </is>
      </c>
      <c r="F90" t="inlineStr">
        <is>
          <t>Nacional</t>
        </is>
      </c>
      <c r="G90" t="inlineStr">
        <is>
          <t>Todas</t>
        </is>
      </c>
      <c r="H90" t="inlineStr">
        <is>
          <t>No</t>
        </is>
      </c>
    </row>
    <row r="91">
      <c r="A91" t="n">
        <v>2024</v>
      </c>
      <c r="B91" s="1" t="n">
        <v>45519</v>
      </c>
      <c r="C91" t="inlineStr">
        <is>
          <t>Jueves</t>
        </is>
      </c>
      <c r="D91" t="inlineStr">
        <is>
          <t>Asunción de la Virgen</t>
        </is>
      </c>
      <c r="E91" t="inlineStr">
        <is>
          <t>Religioso</t>
        </is>
      </c>
      <c r="F91" t="inlineStr">
        <is>
          <t>Nacional</t>
        </is>
      </c>
      <c r="G91" t="inlineStr">
        <is>
          <t>Todas</t>
        </is>
      </c>
      <c r="H91" t="inlineStr">
        <is>
          <t>No</t>
        </is>
      </c>
    </row>
    <row r="92">
      <c r="A92" t="n">
        <v>2024</v>
      </c>
      <c r="B92" s="1" t="n">
        <v>45553</v>
      </c>
      <c r="C92" t="inlineStr">
        <is>
          <t>Miércoles</t>
        </is>
      </c>
      <c r="D92" t="inlineStr">
        <is>
          <t>Independencia Nacional</t>
        </is>
      </c>
      <c r="E92" t="inlineStr">
        <is>
          <t>Civil</t>
        </is>
      </c>
      <c r="F92" t="inlineStr">
        <is>
          <t>Nacional</t>
        </is>
      </c>
      <c r="G92" t="inlineStr">
        <is>
          <t>Todas</t>
        </is>
      </c>
      <c r="H92" t="inlineStr">
        <is>
          <t>Sí</t>
        </is>
      </c>
    </row>
    <row r="93">
      <c r="A93" t="n">
        <v>2024</v>
      </c>
      <c r="B93" s="1" t="n">
        <v>45554</v>
      </c>
      <c r="C93" t="inlineStr">
        <is>
          <t>Jueves</t>
        </is>
      </c>
      <c r="D93" t="inlineStr">
        <is>
          <t>Glorias del Ejército</t>
        </is>
      </c>
      <c r="E93" t="inlineStr">
        <is>
          <t>Civil</t>
        </is>
      </c>
      <c r="F93" t="inlineStr">
        <is>
          <t>Nacional</t>
        </is>
      </c>
      <c r="G93" t="inlineStr">
        <is>
          <t>Todas</t>
        </is>
      </c>
      <c r="H93" t="inlineStr">
        <is>
          <t>Sí</t>
        </is>
      </c>
    </row>
    <row r="94">
      <c r="A94" t="n">
        <v>2024</v>
      </c>
      <c r="B94" s="1" t="n">
        <v>45555</v>
      </c>
      <c r="C94" t="inlineStr">
        <is>
          <t>Viernes</t>
        </is>
      </c>
      <c r="D94" t="inlineStr">
        <is>
          <t>Feriado adicional Fiestas Patrias</t>
        </is>
      </c>
      <c r="E94" t="inlineStr">
        <is>
          <t>Civil</t>
        </is>
      </c>
      <c r="F94" t="inlineStr">
        <is>
          <t>Nacional</t>
        </is>
      </c>
      <c r="G94" t="inlineStr">
        <is>
          <t>Todas</t>
        </is>
      </c>
      <c r="H94" t="inlineStr">
        <is>
          <t>No</t>
        </is>
      </c>
    </row>
    <row r="95">
      <c r="A95" t="n">
        <v>2024</v>
      </c>
      <c r="B95" s="1" t="n">
        <v>45577</v>
      </c>
      <c r="C95" t="inlineStr">
        <is>
          <t>Sábado</t>
        </is>
      </c>
      <c r="D95" t="inlineStr">
        <is>
          <t>Encuentro de Dos Mundos</t>
        </is>
      </c>
      <c r="E95" t="inlineStr">
        <is>
          <t>Civil</t>
        </is>
      </c>
      <c r="F95" t="inlineStr">
        <is>
          <t>Nacional</t>
        </is>
      </c>
      <c r="G95" t="inlineStr">
        <is>
          <t>Todas</t>
        </is>
      </c>
      <c r="H95" t="inlineStr">
        <is>
          <t>No</t>
        </is>
      </c>
    </row>
    <row r="96">
      <c r="A96" t="n">
        <v>2024</v>
      </c>
      <c r="B96" s="1" t="n">
        <v>45592</v>
      </c>
      <c r="C96" t="inlineStr">
        <is>
          <t>Domingo</t>
        </is>
      </c>
      <c r="D96" t="inlineStr">
        <is>
          <t>Elecciones municipales y gobernadores</t>
        </is>
      </c>
      <c r="E96" t="inlineStr">
        <is>
          <t>Electoral</t>
        </is>
      </c>
      <c r="F96" t="inlineStr">
        <is>
          <t>Nacional</t>
        </is>
      </c>
      <c r="G96" t="inlineStr">
        <is>
          <t>Todas</t>
        </is>
      </c>
      <c r="H96" t="inlineStr">
        <is>
          <t>Sí</t>
        </is>
      </c>
    </row>
    <row r="97">
      <c r="A97" t="n">
        <v>2024</v>
      </c>
      <c r="B97" s="1" t="n">
        <v>45596</v>
      </c>
      <c r="C97" t="inlineStr">
        <is>
          <t>Jueves</t>
        </is>
      </c>
      <c r="D97" t="inlineStr">
        <is>
          <t>Iglesias Evangélicas y Protestantes</t>
        </is>
      </c>
      <c r="E97" t="inlineStr">
        <is>
          <t>Religioso</t>
        </is>
      </c>
      <c r="F97" t="inlineStr">
        <is>
          <t>Nacional</t>
        </is>
      </c>
      <c r="G97" t="inlineStr">
        <is>
          <t>Todas</t>
        </is>
      </c>
      <c r="H97" t="inlineStr">
        <is>
          <t>No</t>
        </is>
      </c>
    </row>
    <row r="98">
      <c r="A98" t="n">
        <v>2024</v>
      </c>
      <c r="B98" s="1" t="n">
        <v>45597</v>
      </c>
      <c r="C98" t="inlineStr">
        <is>
          <t>Viernes</t>
        </is>
      </c>
      <c r="D98" t="inlineStr">
        <is>
          <t>Todos los Santos</t>
        </is>
      </c>
      <c r="E98" t="inlineStr">
        <is>
          <t>Religioso</t>
        </is>
      </c>
      <c r="F98" t="inlineStr">
        <is>
          <t>Nacional</t>
        </is>
      </c>
      <c r="G98" t="inlineStr">
        <is>
          <t>Todas</t>
        </is>
      </c>
      <c r="H98" t="inlineStr">
        <is>
          <t>No</t>
        </is>
      </c>
    </row>
    <row r="99">
      <c r="A99" t="n">
        <v>2024</v>
      </c>
      <c r="B99" s="1" t="n">
        <v>45620</v>
      </c>
      <c r="C99" t="inlineStr">
        <is>
          <t>Domingo</t>
        </is>
      </c>
      <c r="D99" t="inlineStr">
        <is>
          <t>Elección gobernadores segunda vuelta</t>
        </is>
      </c>
      <c r="E99" t="inlineStr">
        <is>
          <t>Electoral</t>
        </is>
      </c>
      <c r="F99" t="inlineStr">
        <is>
          <t>Parcial</t>
        </is>
      </c>
      <c r="G99" t="inlineStr">
        <is>
          <t>Varias regiones</t>
        </is>
      </c>
      <c r="H99" t="inlineStr">
        <is>
          <t>Sí</t>
        </is>
      </c>
    </row>
    <row r="100">
      <c r="A100" t="n">
        <v>2024</v>
      </c>
      <c r="B100" s="1" t="n">
        <v>45634</v>
      </c>
      <c r="C100" t="inlineStr">
        <is>
          <t>Domingo</t>
        </is>
      </c>
      <c r="D100" t="inlineStr">
        <is>
          <t>Inmaculada Concepción</t>
        </is>
      </c>
      <c r="E100" t="inlineStr">
        <is>
          <t>Religioso</t>
        </is>
      </c>
      <c r="F100" t="inlineStr">
        <is>
          <t>Nacional</t>
        </is>
      </c>
      <c r="G100" t="inlineStr">
        <is>
          <t>Todas</t>
        </is>
      </c>
      <c r="H100" t="inlineStr">
        <is>
          <t>No</t>
        </is>
      </c>
    </row>
    <row r="101">
      <c r="A101" t="n">
        <v>2024</v>
      </c>
      <c r="B101" s="1" t="n">
        <v>45651</v>
      </c>
      <c r="C101" t="inlineStr">
        <is>
          <t>Miércoles</t>
        </is>
      </c>
      <c r="D101" t="inlineStr">
        <is>
          <t>Navidad</t>
        </is>
      </c>
      <c r="E101" t="inlineStr">
        <is>
          <t>Religioso</t>
        </is>
      </c>
      <c r="F101" t="inlineStr">
        <is>
          <t>Nacional</t>
        </is>
      </c>
      <c r="G101" t="inlineStr">
        <is>
          <t>Todas</t>
        </is>
      </c>
      <c r="H101" t="inlineStr">
        <is>
          <t>Sí</t>
        </is>
      </c>
    </row>
    <row r="102">
      <c r="A102" t="n">
        <v>2024</v>
      </c>
      <c r="B102" s="1" t="n">
        <v>45657</v>
      </c>
      <c r="C102" t="inlineStr">
        <is>
          <t>Martes</t>
        </is>
      </c>
      <c r="D102" t="inlineStr">
        <is>
          <t>Feriado bancario fin de año</t>
        </is>
      </c>
      <c r="E102" t="inlineStr">
        <is>
          <t>Bancario</t>
        </is>
      </c>
      <c r="F102" t="inlineStr">
        <is>
          <t>Bancario</t>
        </is>
      </c>
      <c r="G102" t="inlineStr">
        <is>
          <t>Todas</t>
        </is>
      </c>
      <c r="H102" t="inlineStr">
        <is>
          <t>No</t>
        </is>
      </c>
    </row>
    <row r="103">
      <c r="A103" t="n">
        <v>2025</v>
      </c>
      <c r="B103" s="1" t="n">
        <v>45658</v>
      </c>
      <c r="C103" t="inlineStr">
        <is>
          <t>Miércoles</t>
        </is>
      </c>
      <c r="D103" t="inlineStr">
        <is>
          <t>Año Nuevo</t>
        </is>
      </c>
      <c r="E103" t="inlineStr">
        <is>
          <t>Civil</t>
        </is>
      </c>
      <c r="F103" t="inlineStr">
        <is>
          <t>Nacional</t>
        </is>
      </c>
      <c r="G103" t="inlineStr">
        <is>
          <t>Todas</t>
        </is>
      </c>
      <c r="H103" t="inlineStr">
        <is>
          <t>Sí</t>
        </is>
      </c>
    </row>
    <row r="104">
      <c r="A104" t="n">
        <v>2025</v>
      </c>
      <c r="B104" s="1" t="n">
        <v>45765</v>
      </c>
      <c r="C104" t="inlineStr">
        <is>
          <t>Viernes</t>
        </is>
      </c>
      <c r="D104" t="inlineStr">
        <is>
          <t>Viernes Santo</t>
        </is>
      </c>
      <c r="E104" t="inlineStr">
        <is>
          <t>Religioso</t>
        </is>
      </c>
      <c r="F104" t="inlineStr">
        <is>
          <t>Nacional</t>
        </is>
      </c>
      <c r="G104" t="inlineStr">
        <is>
          <t>Todas</t>
        </is>
      </c>
      <c r="H104" t="inlineStr">
        <is>
          <t>No</t>
        </is>
      </c>
    </row>
    <row r="105">
      <c r="A105" t="n">
        <v>2025</v>
      </c>
      <c r="B105" s="1" t="n">
        <v>45766</v>
      </c>
      <c r="C105" t="inlineStr">
        <is>
          <t>Sábado</t>
        </is>
      </c>
      <c r="D105" t="inlineStr">
        <is>
          <t>Sábado Santo</t>
        </is>
      </c>
      <c r="E105" t="inlineStr">
        <is>
          <t>Religioso</t>
        </is>
      </c>
      <c r="F105" t="inlineStr">
        <is>
          <t>Nacional</t>
        </is>
      </c>
      <c r="G105" t="inlineStr">
        <is>
          <t>Todas</t>
        </is>
      </c>
      <c r="H105" t="inlineStr">
        <is>
          <t>No</t>
        </is>
      </c>
    </row>
    <row r="106">
      <c r="A106" t="n">
        <v>2025</v>
      </c>
      <c r="B106" s="1" t="n">
        <v>45778</v>
      </c>
      <c r="C106" t="inlineStr">
        <is>
          <t>Jueves</t>
        </is>
      </c>
      <c r="D106" t="inlineStr">
        <is>
          <t>Día Nacional del Trabajo</t>
        </is>
      </c>
      <c r="E106" t="inlineStr">
        <is>
          <t>Civil</t>
        </is>
      </c>
      <c r="F106" t="inlineStr">
        <is>
          <t>Nacional</t>
        </is>
      </c>
      <c r="G106" t="inlineStr">
        <is>
          <t>Todas</t>
        </is>
      </c>
      <c r="H106" t="inlineStr">
        <is>
          <t>Sí</t>
        </is>
      </c>
    </row>
    <row r="107">
      <c r="A107" t="n">
        <v>2025</v>
      </c>
      <c r="B107" s="1" t="n">
        <v>45798</v>
      </c>
      <c r="C107" t="inlineStr">
        <is>
          <t>Miércoles</t>
        </is>
      </c>
      <c r="D107" t="inlineStr">
        <is>
          <t>Día de las Glorias Navales</t>
        </is>
      </c>
      <c r="E107" t="inlineStr">
        <is>
          <t>Civil</t>
        </is>
      </c>
      <c r="F107" t="inlineStr">
        <is>
          <t>Nacional</t>
        </is>
      </c>
      <c r="G107" t="inlineStr">
        <is>
          <t>Todas</t>
        </is>
      </c>
      <c r="H107" t="inlineStr">
        <is>
          <t>No</t>
        </is>
      </c>
    </row>
    <row r="108">
      <c r="A108" t="n">
        <v>2025</v>
      </c>
      <c r="B108" s="1" t="n">
        <v>45828</v>
      </c>
      <c r="C108" t="inlineStr">
        <is>
          <t>Viernes</t>
        </is>
      </c>
      <c r="D108" t="inlineStr">
        <is>
          <t>Día Nacional de los Pueblos Indígenas</t>
        </is>
      </c>
      <c r="E108" t="inlineStr">
        <is>
          <t>Civil</t>
        </is>
      </c>
      <c r="F108" t="inlineStr">
        <is>
          <t>Nacional</t>
        </is>
      </c>
      <c r="G108" t="inlineStr">
        <is>
          <t>Todas</t>
        </is>
      </c>
      <c r="H108" t="inlineStr">
        <is>
          <t>No</t>
        </is>
      </c>
    </row>
    <row r="109">
      <c r="A109" t="n">
        <v>2025</v>
      </c>
      <c r="B109" s="1" t="n">
        <v>45837</v>
      </c>
      <c r="C109" t="inlineStr">
        <is>
          <t>Domingo</t>
        </is>
      </c>
      <c r="D109" t="inlineStr">
        <is>
          <t>San Pedro y San Pablo</t>
        </is>
      </c>
      <c r="E109" t="inlineStr">
        <is>
          <t>Religioso</t>
        </is>
      </c>
      <c r="F109" t="inlineStr">
        <is>
          <t>Nacional</t>
        </is>
      </c>
      <c r="G109" t="inlineStr">
        <is>
          <t>Todas</t>
        </is>
      </c>
      <c r="H109" t="inlineStr">
        <is>
          <t>No</t>
        </is>
      </c>
    </row>
    <row r="110">
      <c r="A110" t="n">
        <v>2025</v>
      </c>
      <c r="B110" s="1" t="n">
        <v>45854</v>
      </c>
      <c r="C110" t="inlineStr">
        <is>
          <t>Miércoles</t>
        </is>
      </c>
      <c r="D110" t="inlineStr">
        <is>
          <t>Virgen del Carmen</t>
        </is>
      </c>
      <c r="E110" t="inlineStr">
        <is>
          <t>Religioso</t>
        </is>
      </c>
      <c r="F110" t="inlineStr">
        <is>
          <t>Nacional</t>
        </is>
      </c>
      <c r="G110" t="inlineStr">
        <is>
          <t>Todas</t>
        </is>
      </c>
      <c r="H110" t="inlineStr">
        <is>
          <t>No</t>
        </is>
      </c>
    </row>
    <row r="111">
      <c r="A111" t="n">
        <v>2025</v>
      </c>
      <c r="B111" s="1" t="n">
        <v>45884</v>
      </c>
      <c r="C111" t="inlineStr">
        <is>
          <t>Viernes</t>
        </is>
      </c>
      <c r="D111" t="inlineStr">
        <is>
          <t>Asunción de la Virgen</t>
        </is>
      </c>
      <c r="E111" t="inlineStr">
        <is>
          <t>Religioso</t>
        </is>
      </c>
      <c r="F111" t="inlineStr">
        <is>
          <t>Nacional</t>
        </is>
      </c>
      <c r="G111" t="inlineStr">
        <is>
          <t>Todas</t>
        </is>
      </c>
      <c r="H111" t="inlineStr">
        <is>
          <t>No</t>
        </is>
      </c>
    </row>
    <row r="112">
      <c r="A112" t="n">
        <v>2025</v>
      </c>
      <c r="B112" s="1" t="n">
        <v>45918</v>
      </c>
      <c r="C112" t="inlineStr">
        <is>
          <t>Jueves</t>
        </is>
      </c>
      <c r="D112" t="inlineStr">
        <is>
          <t>Independencia Nacional</t>
        </is>
      </c>
      <c r="E112" t="inlineStr">
        <is>
          <t>Civil</t>
        </is>
      </c>
      <c r="F112" t="inlineStr">
        <is>
          <t>Nacional</t>
        </is>
      </c>
      <c r="G112" t="inlineStr">
        <is>
          <t>Todas</t>
        </is>
      </c>
      <c r="H112" t="inlineStr">
        <is>
          <t>Sí</t>
        </is>
      </c>
    </row>
    <row r="113">
      <c r="A113" t="n">
        <v>2025</v>
      </c>
      <c r="B113" s="1" t="n">
        <v>45919</v>
      </c>
      <c r="C113" t="inlineStr">
        <is>
          <t>Viernes</t>
        </is>
      </c>
      <c r="D113" t="inlineStr">
        <is>
          <t>Glorias del Ejército</t>
        </is>
      </c>
      <c r="E113" t="inlineStr">
        <is>
          <t>Civil</t>
        </is>
      </c>
      <c r="F113" t="inlineStr">
        <is>
          <t>Nacional</t>
        </is>
      </c>
      <c r="G113" t="inlineStr">
        <is>
          <t>Todas</t>
        </is>
      </c>
      <c r="H113" t="inlineStr">
        <is>
          <t>Sí</t>
        </is>
      </c>
    </row>
    <row r="114">
      <c r="A114" t="n">
        <v>2025</v>
      </c>
      <c r="B114" s="1" t="n">
        <v>45942</v>
      </c>
      <c r="C114" t="inlineStr">
        <is>
          <t>Domingo</t>
        </is>
      </c>
      <c r="D114" t="inlineStr">
        <is>
          <t>Encuentro de Dos Mundos</t>
        </is>
      </c>
      <c r="E114" t="inlineStr">
        <is>
          <t>Civil</t>
        </is>
      </c>
      <c r="F114" t="inlineStr">
        <is>
          <t>Nacional</t>
        </is>
      </c>
      <c r="G114" t="inlineStr">
        <is>
          <t>Todas</t>
        </is>
      </c>
      <c r="H114" t="inlineStr">
        <is>
          <t>No</t>
        </is>
      </c>
    </row>
    <row r="115">
      <c r="A115" t="n">
        <v>2025</v>
      </c>
      <c r="B115" s="1" t="n">
        <v>45961</v>
      </c>
      <c r="C115" t="inlineStr">
        <is>
          <t>Viernes</t>
        </is>
      </c>
      <c r="D115" t="inlineStr">
        <is>
          <t>Iglesias Evangélicas y Protestantes</t>
        </is>
      </c>
      <c r="E115" t="inlineStr">
        <is>
          <t>Religioso</t>
        </is>
      </c>
      <c r="F115" t="inlineStr">
        <is>
          <t>Nacional</t>
        </is>
      </c>
      <c r="G115" t="inlineStr">
        <is>
          <t>Todas</t>
        </is>
      </c>
      <c r="H115" t="inlineStr">
        <is>
          <t>No</t>
        </is>
      </c>
    </row>
    <row r="116">
      <c r="A116" t="n">
        <v>2025</v>
      </c>
      <c r="B116" s="1" t="n">
        <v>45962</v>
      </c>
      <c r="C116" t="inlineStr">
        <is>
          <t>Sábado</t>
        </is>
      </c>
      <c r="D116" t="inlineStr">
        <is>
          <t>Todos los Santos</t>
        </is>
      </c>
      <c r="E116" t="inlineStr">
        <is>
          <t>Religioso</t>
        </is>
      </c>
      <c r="F116" t="inlineStr">
        <is>
          <t>Nacional</t>
        </is>
      </c>
      <c r="G116" t="inlineStr">
        <is>
          <t>Todas</t>
        </is>
      </c>
      <c r="H116" t="inlineStr">
        <is>
          <t>No</t>
        </is>
      </c>
    </row>
    <row r="117">
      <c r="A117" t="n">
        <v>2025</v>
      </c>
      <c r="B117" s="1" t="n">
        <v>45999</v>
      </c>
      <c r="C117" t="inlineStr">
        <is>
          <t>Lunes</t>
        </is>
      </c>
      <c r="D117" t="inlineStr">
        <is>
          <t>Inmaculada Concepción</t>
        </is>
      </c>
      <c r="E117" t="inlineStr">
        <is>
          <t>Religioso</t>
        </is>
      </c>
      <c r="F117" t="inlineStr">
        <is>
          <t>Nacional</t>
        </is>
      </c>
      <c r="G117" t="inlineStr">
        <is>
          <t>Todas</t>
        </is>
      </c>
      <c r="H117" t="inlineStr">
        <is>
          <t>No</t>
        </is>
      </c>
    </row>
    <row r="118">
      <c r="A118" t="n">
        <v>2025</v>
      </c>
      <c r="B118" s="1" t="n">
        <v>46016</v>
      </c>
      <c r="C118" t="inlineStr">
        <is>
          <t>Jueves</t>
        </is>
      </c>
      <c r="D118" t="inlineStr">
        <is>
          <t>Navidad</t>
        </is>
      </c>
      <c r="E118" t="inlineStr">
        <is>
          <t>Religioso</t>
        </is>
      </c>
      <c r="F118" t="inlineStr">
        <is>
          <t>Nacional</t>
        </is>
      </c>
      <c r="G118" t="inlineStr">
        <is>
          <t>Todas</t>
        </is>
      </c>
      <c r="H118" t="inlineStr">
        <is>
          <t>Sí</t>
        </is>
      </c>
    </row>
    <row r="119">
      <c r="A119" t="n">
        <v>2025</v>
      </c>
      <c r="B119" s="1" t="n">
        <v>46022</v>
      </c>
      <c r="C119" t="inlineStr">
        <is>
          <t>Miércoles</t>
        </is>
      </c>
      <c r="D119" t="inlineStr">
        <is>
          <t>Feriado bancario fin de año</t>
        </is>
      </c>
      <c r="E119" t="inlineStr">
        <is>
          <t>Bancario</t>
        </is>
      </c>
      <c r="F119" t="inlineStr">
        <is>
          <t>Bancario</t>
        </is>
      </c>
      <c r="G119" t="inlineStr">
        <is>
          <t>Todas</t>
        </is>
      </c>
      <c r="H119" t="inlineStr">
        <is>
          <t>No</t>
        </is>
      </c>
    </row>
    <row r="120">
      <c r="A120" t="n">
        <v>2026</v>
      </c>
      <c r="B120" s="1" t="n">
        <v>46023</v>
      </c>
      <c r="C120" t="inlineStr">
        <is>
          <t>Jueves</t>
        </is>
      </c>
      <c r="D120" t="inlineStr">
        <is>
          <t>Año Nuevo</t>
        </is>
      </c>
      <c r="E120" t="inlineStr">
        <is>
          <t>Civil</t>
        </is>
      </c>
      <c r="F120" t="inlineStr">
        <is>
          <t>Nacional</t>
        </is>
      </c>
      <c r="G120" t="inlineStr">
        <is>
          <t>Todas</t>
        </is>
      </c>
      <c r="H120" t="inlineStr">
        <is>
          <t>Sí</t>
        </is>
      </c>
    </row>
    <row r="121">
      <c r="A121" t="n">
        <v>2026</v>
      </c>
      <c r="B121" s="1" t="n">
        <v>46115</v>
      </c>
      <c r="C121" t="inlineStr">
        <is>
          <t>Viernes</t>
        </is>
      </c>
      <c r="D121" t="inlineStr">
        <is>
          <t>Viernes Santo</t>
        </is>
      </c>
      <c r="E121" t="inlineStr">
        <is>
          <t>Religioso</t>
        </is>
      </c>
      <c r="F121" t="inlineStr">
        <is>
          <t>Nacional</t>
        </is>
      </c>
      <c r="G121" t="inlineStr">
        <is>
          <t>Todas</t>
        </is>
      </c>
      <c r="H121" t="inlineStr">
        <is>
          <t>No</t>
        </is>
      </c>
    </row>
    <row r="122">
      <c r="A122" t="n">
        <v>2026</v>
      </c>
      <c r="B122" s="1" t="n">
        <v>46116</v>
      </c>
      <c r="C122" t="inlineStr">
        <is>
          <t>Sábado</t>
        </is>
      </c>
      <c r="D122" t="inlineStr">
        <is>
          <t>Sábado Santo</t>
        </is>
      </c>
      <c r="E122" t="inlineStr">
        <is>
          <t>Religioso</t>
        </is>
      </c>
      <c r="F122" t="inlineStr">
        <is>
          <t>Nacional</t>
        </is>
      </c>
      <c r="G122" t="inlineStr">
        <is>
          <t>Todas</t>
        </is>
      </c>
      <c r="H122" t="inlineStr">
        <is>
          <t>No</t>
        </is>
      </c>
    </row>
    <row r="123">
      <c r="A123" t="n">
        <v>2026</v>
      </c>
      <c r="B123" s="1" t="n">
        <v>46143</v>
      </c>
      <c r="C123" t="inlineStr">
        <is>
          <t>Viernes</t>
        </is>
      </c>
      <c r="D123" t="inlineStr">
        <is>
          <t>Día Nacional del Trabajo</t>
        </is>
      </c>
      <c r="E123" t="inlineStr">
        <is>
          <t>Civil</t>
        </is>
      </c>
      <c r="F123" t="inlineStr">
        <is>
          <t>Nacional</t>
        </is>
      </c>
      <c r="G123" t="inlineStr">
        <is>
          <t>Todas</t>
        </is>
      </c>
      <c r="H123" t="inlineStr">
        <is>
          <t>Sí</t>
        </is>
      </c>
    </row>
    <row r="124">
      <c r="A124" t="n">
        <v>2026</v>
      </c>
      <c r="B124" s="1" t="n">
        <v>46163</v>
      </c>
      <c r="C124" t="inlineStr">
        <is>
          <t>Jueves</t>
        </is>
      </c>
      <c r="D124" t="inlineStr">
        <is>
          <t>Día de las Glorias Navales</t>
        </is>
      </c>
      <c r="E124" t="inlineStr">
        <is>
          <t>Civil</t>
        </is>
      </c>
      <c r="F124" t="inlineStr">
        <is>
          <t>Nacional</t>
        </is>
      </c>
      <c r="G124" t="inlineStr">
        <is>
          <t>Todas</t>
        </is>
      </c>
      <c r="H124" t="inlineStr">
        <is>
          <t>No</t>
        </is>
      </c>
    </row>
    <row r="125">
      <c r="A125" t="n">
        <v>2026</v>
      </c>
      <c r="B125" s="1" t="n">
        <v>46194</v>
      </c>
      <c r="C125" t="inlineStr">
        <is>
          <t>Domingo</t>
        </is>
      </c>
      <c r="D125" t="inlineStr">
        <is>
          <t>Día Nacional de los Pueblos Indígenas</t>
        </is>
      </c>
      <c r="E125" t="inlineStr">
        <is>
          <t>Civil</t>
        </is>
      </c>
      <c r="F125" t="inlineStr">
        <is>
          <t>Nacional</t>
        </is>
      </c>
      <c r="G125" t="inlineStr">
        <is>
          <t>Todas</t>
        </is>
      </c>
      <c r="H125" t="inlineStr">
        <is>
          <t>No</t>
        </is>
      </c>
    </row>
    <row r="126">
      <c r="A126" t="n">
        <v>2026</v>
      </c>
      <c r="B126" s="1" t="n">
        <v>46202</v>
      </c>
      <c r="C126" t="inlineStr">
        <is>
          <t>Lunes</t>
        </is>
      </c>
      <c r="D126" t="inlineStr">
        <is>
          <t>San Pedro y San Pablo</t>
        </is>
      </c>
      <c r="E126" t="inlineStr">
        <is>
          <t>Religioso</t>
        </is>
      </c>
      <c r="F126" t="inlineStr">
        <is>
          <t>Nacional</t>
        </is>
      </c>
      <c r="G126" t="inlineStr">
        <is>
          <t>Todas</t>
        </is>
      </c>
      <c r="H126" t="inlineStr">
        <is>
          <t>No</t>
        </is>
      </c>
    </row>
    <row r="127">
      <c r="A127" t="n">
        <v>2026</v>
      </c>
      <c r="B127" s="1" t="n">
        <v>46219</v>
      </c>
      <c r="C127" t="inlineStr">
        <is>
          <t>Jueves</t>
        </is>
      </c>
      <c r="D127" t="inlineStr">
        <is>
          <t>Virgen del Carmen</t>
        </is>
      </c>
      <c r="E127" t="inlineStr">
        <is>
          <t>Religioso</t>
        </is>
      </c>
      <c r="F127" t="inlineStr">
        <is>
          <t>Nacional</t>
        </is>
      </c>
      <c r="G127" t="inlineStr">
        <is>
          <t>Todas</t>
        </is>
      </c>
      <c r="H127" t="inlineStr">
        <is>
          <t>No</t>
        </is>
      </c>
    </row>
    <row r="128">
      <c r="A128" t="n">
        <v>2026</v>
      </c>
      <c r="B128" s="1" t="n">
        <v>46249</v>
      </c>
      <c r="C128" t="inlineStr">
        <is>
          <t>Sábado</t>
        </is>
      </c>
      <c r="D128" t="inlineStr">
        <is>
          <t>Asunción de la Virgen</t>
        </is>
      </c>
      <c r="E128" t="inlineStr">
        <is>
          <t>Religioso</t>
        </is>
      </c>
      <c r="F128" t="inlineStr">
        <is>
          <t>Nacional</t>
        </is>
      </c>
      <c r="G128" t="inlineStr">
        <is>
          <t>Todas</t>
        </is>
      </c>
      <c r="H128" t="inlineStr">
        <is>
          <t>No</t>
        </is>
      </c>
    </row>
    <row r="129">
      <c r="A129" t="n">
        <v>2026</v>
      </c>
      <c r="B129" s="1" t="n">
        <v>46283</v>
      </c>
      <c r="C129" t="inlineStr">
        <is>
          <t>Viernes</t>
        </is>
      </c>
      <c r="D129" t="inlineStr">
        <is>
          <t>Independencia Nacional</t>
        </is>
      </c>
      <c r="E129" t="inlineStr">
        <is>
          <t>Civil</t>
        </is>
      </c>
      <c r="F129" t="inlineStr">
        <is>
          <t>Nacional</t>
        </is>
      </c>
      <c r="G129" t="inlineStr">
        <is>
          <t>Todas</t>
        </is>
      </c>
      <c r="H129" t="inlineStr">
        <is>
          <t>Sí</t>
        </is>
      </c>
    </row>
    <row r="130">
      <c r="A130" t="n">
        <v>2026</v>
      </c>
      <c r="B130" s="1" t="n">
        <v>46284</v>
      </c>
      <c r="C130" t="inlineStr">
        <is>
          <t>Sábado</t>
        </is>
      </c>
      <c r="D130" t="inlineStr">
        <is>
          <t>Glorias del Ejército</t>
        </is>
      </c>
      <c r="E130" t="inlineStr">
        <is>
          <t>Civil</t>
        </is>
      </c>
      <c r="F130" t="inlineStr">
        <is>
          <t>Nacional</t>
        </is>
      </c>
      <c r="G130" t="inlineStr">
        <is>
          <t>Todas</t>
        </is>
      </c>
      <c r="H130" t="inlineStr">
        <is>
          <t>Sí</t>
        </is>
      </c>
    </row>
    <row r="131">
      <c r="A131" t="n">
        <v>2026</v>
      </c>
      <c r="B131" s="1" t="n">
        <v>46307</v>
      </c>
      <c r="C131" t="inlineStr">
        <is>
          <t>Lunes</t>
        </is>
      </c>
      <c r="D131" t="inlineStr">
        <is>
          <t>Encuentro de Dos Mundos</t>
        </is>
      </c>
      <c r="E131" t="inlineStr">
        <is>
          <t>Civil</t>
        </is>
      </c>
      <c r="F131" t="inlineStr">
        <is>
          <t>Nacional</t>
        </is>
      </c>
      <c r="G131" t="inlineStr">
        <is>
          <t>Todas</t>
        </is>
      </c>
      <c r="H131" t="inlineStr">
        <is>
          <t>No</t>
        </is>
      </c>
    </row>
    <row r="132">
      <c r="A132" t="n">
        <v>2026</v>
      </c>
      <c r="B132" s="1" t="n">
        <v>46326</v>
      </c>
      <c r="C132" t="inlineStr">
        <is>
          <t>Sábado</t>
        </is>
      </c>
      <c r="D132" t="inlineStr">
        <is>
          <t>Iglesias Evangélicas y Protestantes</t>
        </is>
      </c>
      <c r="E132" t="inlineStr">
        <is>
          <t>Religioso</t>
        </is>
      </c>
      <c r="F132" t="inlineStr">
        <is>
          <t>Nacional</t>
        </is>
      </c>
      <c r="G132" t="inlineStr">
        <is>
          <t>Todas</t>
        </is>
      </c>
      <c r="H132" t="inlineStr">
        <is>
          <t>No</t>
        </is>
      </c>
    </row>
    <row r="133">
      <c r="A133" t="n">
        <v>2026</v>
      </c>
      <c r="B133" s="1" t="n">
        <v>46327</v>
      </c>
      <c r="C133" t="inlineStr">
        <is>
          <t>Domingo</t>
        </is>
      </c>
      <c r="D133" t="inlineStr">
        <is>
          <t>Todos los Santos</t>
        </is>
      </c>
      <c r="E133" t="inlineStr">
        <is>
          <t>Religioso</t>
        </is>
      </c>
      <c r="F133" t="inlineStr">
        <is>
          <t>Nacional</t>
        </is>
      </c>
      <c r="G133" t="inlineStr">
        <is>
          <t>Todas</t>
        </is>
      </c>
      <c r="H133" t="inlineStr">
        <is>
          <t>No</t>
        </is>
      </c>
    </row>
    <row r="134">
      <c r="A134" t="n">
        <v>2026</v>
      </c>
      <c r="B134" s="1" t="n">
        <v>46364</v>
      </c>
      <c r="C134" t="inlineStr">
        <is>
          <t>Martes</t>
        </is>
      </c>
      <c r="D134" t="inlineStr">
        <is>
          <t>Inmaculada Concepción</t>
        </is>
      </c>
      <c r="E134" t="inlineStr">
        <is>
          <t>Religioso</t>
        </is>
      </c>
      <c r="F134" t="inlineStr">
        <is>
          <t>Nacional</t>
        </is>
      </c>
      <c r="G134" t="inlineStr">
        <is>
          <t>Todas</t>
        </is>
      </c>
      <c r="H134" t="inlineStr">
        <is>
          <t>No</t>
        </is>
      </c>
    </row>
    <row r="135">
      <c r="A135" t="n">
        <v>2026</v>
      </c>
      <c r="B135" s="1" t="n">
        <v>46381</v>
      </c>
      <c r="C135" t="inlineStr">
        <is>
          <t>Viernes</t>
        </is>
      </c>
      <c r="D135" t="inlineStr">
        <is>
          <t>Navidad</t>
        </is>
      </c>
      <c r="E135" t="inlineStr">
        <is>
          <t>Religioso</t>
        </is>
      </c>
      <c r="F135" t="inlineStr">
        <is>
          <t>Nacional</t>
        </is>
      </c>
      <c r="G135" t="inlineStr">
        <is>
          <t>Todas</t>
        </is>
      </c>
      <c r="H135" t="inlineStr">
        <is>
          <t>Sí</t>
        </is>
      </c>
    </row>
    <row r="136">
      <c r="A136" t="n">
        <v>2026</v>
      </c>
      <c r="B136" s="1" t="n">
        <v>46387</v>
      </c>
      <c r="C136" t="inlineStr">
        <is>
          <t>Jueves</t>
        </is>
      </c>
      <c r="D136" t="inlineStr">
        <is>
          <t>Feriado bancario fin de año</t>
        </is>
      </c>
      <c r="E136" t="inlineStr">
        <is>
          <t>Bancario</t>
        </is>
      </c>
      <c r="F136" t="inlineStr">
        <is>
          <t>Bancario</t>
        </is>
      </c>
      <c r="G136" t="inlineStr">
        <is>
          <t>Todas</t>
        </is>
      </c>
      <c r="H136" t="inlineStr">
        <is>
          <t>No</t>
        </is>
      </c>
    </row>
    <row r="137">
      <c r="A137" t="n">
        <v>2027</v>
      </c>
      <c r="B137" s="1" t="n">
        <v>46388</v>
      </c>
      <c r="C137" t="inlineStr">
        <is>
          <t>Viernes</t>
        </is>
      </c>
      <c r="D137" t="inlineStr">
        <is>
          <t>Año Nuevo</t>
        </is>
      </c>
      <c r="E137" t="inlineStr">
        <is>
          <t>Civil</t>
        </is>
      </c>
      <c r="F137" t="inlineStr">
        <is>
          <t>Nacional</t>
        </is>
      </c>
      <c r="G137" t="inlineStr">
        <is>
          <t>Todas</t>
        </is>
      </c>
      <c r="H137" t="inlineStr">
        <is>
          <t>Sí</t>
        </is>
      </c>
    </row>
    <row r="138">
      <c r="A138" t="n">
        <v>2027</v>
      </c>
      <c r="B138" s="1" t="n">
        <v>46472</v>
      </c>
      <c r="C138" t="inlineStr">
        <is>
          <t>Viernes</t>
        </is>
      </c>
      <c r="D138" t="inlineStr">
        <is>
          <t>Viernes Santo</t>
        </is>
      </c>
      <c r="E138" t="inlineStr">
        <is>
          <t>Religioso</t>
        </is>
      </c>
      <c r="F138" t="inlineStr">
        <is>
          <t>Nacional</t>
        </is>
      </c>
      <c r="G138" t="inlineStr">
        <is>
          <t>Todas</t>
        </is>
      </c>
      <c r="H138" t="inlineStr">
        <is>
          <t>No</t>
        </is>
      </c>
    </row>
    <row r="139">
      <c r="A139" t="n">
        <v>2027</v>
      </c>
      <c r="B139" s="1" t="n">
        <v>46473</v>
      </c>
      <c r="C139" t="inlineStr">
        <is>
          <t>Sábado</t>
        </is>
      </c>
      <c r="D139" t="inlineStr">
        <is>
          <t>Sábado Santo</t>
        </is>
      </c>
      <c r="E139" t="inlineStr">
        <is>
          <t>Religioso</t>
        </is>
      </c>
      <c r="F139" t="inlineStr">
        <is>
          <t>Nacional</t>
        </is>
      </c>
      <c r="G139" t="inlineStr">
        <is>
          <t>Todas</t>
        </is>
      </c>
      <c r="H139" t="inlineStr">
        <is>
          <t>No</t>
        </is>
      </c>
    </row>
    <row r="140">
      <c r="A140" t="n">
        <v>2027</v>
      </c>
      <c r="B140" s="1" t="n">
        <v>46508</v>
      </c>
      <c r="C140" t="inlineStr">
        <is>
          <t>Sábado</t>
        </is>
      </c>
      <c r="D140" t="inlineStr">
        <is>
          <t>Día Nacional del Trabajo</t>
        </is>
      </c>
      <c r="E140" t="inlineStr">
        <is>
          <t>Civil</t>
        </is>
      </c>
      <c r="F140" t="inlineStr">
        <is>
          <t>Nacional</t>
        </is>
      </c>
      <c r="G140" t="inlineStr">
        <is>
          <t>Todas</t>
        </is>
      </c>
      <c r="H140" t="inlineStr">
        <is>
          <t>Sí</t>
        </is>
      </c>
    </row>
    <row r="141">
      <c r="A141" t="n">
        <v>2027</v>
      </c>
      <c r="B141" s="1" t="n">
        <v>46528</v>
      </c>
      <c r="C141" t="inlineStr">
        <is>
          <t>Viernes</t>
        </is>
      </c>
      <c r="D141" t="inlineStr">
        <is>
          <t>Día de las Glorias Navales</t>
        </is>
      </c>
      <c r="E141" t="inlineStr">
        <is>
          <t>Civil</t>
        </is>
      </c>
      <c r="F141" t="inlineStr">
        <is>
          <t>Nacional</t>
        </is>
      </c>
      <c r="G141" t="inlineStr">
        <is>
          <t>Todas</t>
        </is>
      </c>
      <c r="H141" t="inlineStr">
        <is>
          <t>No</t>
        </is>
      </c>
    </row>
    <row r="142">
      <c r="A142" t="n">
        <v>2027</v>
      </c>
      <c r="B142" s="1" t="n">
        <v>46559</v>
      </c>
      <c r="C142" t="inlineStr">
        <is>
          <t>Lunes</t>
        </is>
      </c>
      <c r="D142" t="inlineStr">
        <is>
          <t>Día Nacional de los Pueblos Indígenas</t>
        </is>
      </c>
      <c r="E142" t="inlineStr">
        <is>
          <t>Civil</t>
        </is>
      </c>
      <c r="F142" t="inlineStr">
        <is>
          <t>Nacional</t>
        </is>
      </c>
      <c r="G142" t="inlineStr">
        <is>
          <t>Todas</t>
        </is>
      </c>
      <c r="H142" t="inlineStr">
        <is>
          <t>No</t>
        </is>
      </c>
    </row>
    <row r="143">
      <c r="A143" t="n">
        <v>2027</v>
      </c>
      <c r="B143" s="1" t="n">
        <v>46566</v>
      </c>
      <c r="C143" t="inlineStr">
        <is>
          <t>Lunes</t>
        </is>
      </c>
      <c r="D143" t="inlineStr">
        <is>
          <t>San Pedro y San Pablo</t>
        </is>
      </c>
      <c r="E143" t="inlineStr">
        <is>
          <t>Religioso</t>
        </is>
      </c>
      <c r="F143" t="inlineStr">
        <is>
          <t>Nacional</t>
        </is>
      </c>
      <c r="G143" t="inlineStr">
        <is>
          <t>Todas</t>
        </is>
      </c>
      <c r="H143" t="inlineStr">
        <is>
          <t>No</t>
        </is>
      </c>
    </row>
    <row r="144">
      <c r="A144" t="n">
        <v>2027</v>
      </c>
      <c r="B144" s="1" t="n">
        <v>46584</v>
      </c>
      <c r="C144" t="inlineStr">
        <is>
          <t>Viernes</t>
        </is>
      </c>
      <c r="D144" t="inlineStr">
        <is>
          <t>Virgen del Carmen</t>
        </is>
      </c>
      <c r="E144" t="inlineStr">
        <is>
          <t>Religioso</t>
        </is>
      </c>
      <c r="F144" t="inlineStr">
        <is>
          <t>Nacional</t>
        </is>
      </c>
      <c r="G144" t="inlineStr">
        <is>
          <t>Todas</t>
        </is>
      </c>
      <c r="H144" t="inlineStr">
        <is>
          <t>No</t>
        </is>
      </c>
    </row>
    <row r="145">
      <c r="A145" t="n">
        <v>2027</v>
      </c>
      <c r="B145" s="1" t="n">
        <v>46614</v>
      </c>
      <c r="C145" t="inlineStr">
        <is>
          <t>Domingo</t>
        </is>
      </c>
      <c r="D145" t="inlineStr">
        <is>
          <t>Asunción de la Virgen</t>
        </is>
      </c>
      <c r="E145" t="inlineStr">
        <is>
          <t>Religioso</t>
        </is>
      </c>
      <c r="F145" t="inlineStr">
        <is>
          <t>Nacional</t>
        </is>
      </c>
      <c r="G145" t="inlineStr">
        <is>
          <t>Todas</t>
        </is>
      </c>
      <c r="H145" t="inlineStr">
        <is>
          <t>No</t>
        </is>
      </c>
    </row>
    <row r="146">
      <c r="A146" t="n">
        <v>2027</v>
      </c>
      <c r="B146" s="1" t="n">
        <v>46647</v>
      </c>
      <c r="C146" t="inlineStr">
        <is>
          <t>Viernes</t>
        </is>
      </c>
      <c r="D146" t="inlineStr">
        <is>
          <t>Feriado adicional Fiestas Patrias</t>
        </is>
      </c>
      <c r="E146" t="inlineStr">
        <is>
          <t>Civil</t>
        </is>
      </c>
      <c r="F146" t="inlineStr">
        <is>
          <t>Nacional</t>
        </is>
      </c>
      <c r="G146" t="inlineStr">
        <is>
          <t>Todas</t>
        </is>
      </c>
      <c r="H146" t="inlineStr">
        <is>
          <t>No</t>
        </is>
      </c>
      <c r="I146" t="inlineStr">
        <is>
          <t>San Viernes</t>
        </is>
      </c>
    </row>
    <row r="147">
      <c r="A147" t="n">
        <v>2027</v>
      </c>
      <c r="B147" s="1" t="n">
        <v>46648</v>
      </c>
      <c r="C147" t="inlineStr">
        <is>
          <t>Sábado</t>
        </is>
      </c>
      <c r="D147" t="inlineStr">
        <is>
          <t>Independencia Nacional</t>
        </is>
      </c>
      <c r="E147" t="inlineStr">
        <is>
          <t>Civil</t>
        </is>
      </c>
      <c r="F147" t="inlineStr">
        <is>
          <t>Nacional</t>
        </is>
      </c>
      <c r="G147" t="inlineStr">
        <is>
          <t>Todas</t>
        </is>
      </c>
      <c r="H147" t="inlineStr">
        <is>
          <t>Sí</t>
        </is>
      </c>
    </row>
    <row r="148">
      <c r="A148" t="n">
        <v>2027</v>
      </c>
      <c r="B148" s="1" t="n">
        <v>46649</v>
      </c>
      <c r="C148" t="inlineStr">
        <is>
          <t>Domingo</t>
        </is>
      </c>
      <c r="D148" t="inlineStr">
        <is>
          <t>Glorias del Ejército</t>
        </is>
      </c>
      <c r="E148" t="inlineStr">
        <is>
          <t>Civil</t>
        </is>
      </c>
      <c r="F148" t="inlineStr">
        <is>
          <t>Nacional</t>
        </is>
      </c>
      <c r="G148" t="inlineStr">
        <is>
          <t>Todas</t>
        </is>
      </c>
      <c r="H148" t="inlineStr">
        <is>
          <t>Sí</t>
        </is>
      </c>
    </row>
    <row r="149">
      <c r="A149" t="n">
        <v>2027</v>
      </c>
      <c r="B149" s="1" t="n">
        <v>46671</v>
      </c>
      <c r="C149" t="inlineStr">
        <is>
          <t>Lunes</t>
        </is>
      </c>
      <c r="D149" t="inlineStr">
        <is>
          <t>Encuentro de Dos Mundos</t>
        </is>
      </c>
      <c r="E149" t="inlineStr">
        <is>
          <t>Civil</t>
        </is>
      </c>
      <c r="F149" t="inlineStr">
        <is>
          <t>Nacional</t>
        </is>
      </c>
      <c r="G149" t="inlineStr">
        <is>
          <t>Todas</t>
        </is>
      </c>
      <c r="H149" t="inlineStr">
        <is>
          <t>No</t>
        </is>
      </c>
    </row>
    <row r="150">
      <c r="A150" t="n">
        <v>2027</v>
      </c>
      <c r="B150" s="1" t="n">
        <v>46691</v>
      </c>
      <c r="C150" t="inlineStr">
        <is>
          <t>Domingo</t>
        </is>
      </c>
      <c r="D150" t="inlineStr">
        <is>
          <t>Iglesias Evangélicas y Protestantes</t>
        </is>
      </c>
      <c r="E150" t="inlineStr">
        <is>
          <t>Religioso</t>
        </is>
      </c>
      <c r="F150" t="inlineStr">
        <is>
          <t>Nacional</t>
        </is>
      </c>
      <c r="G150" t="inlineStr">
        <is>
          <t>Todas</t>
        </is>
      </c>
      <c r="H150" t="inlineStr">
        <is>
          <t>No</t>
        </is>
      </c>
    </row>
    <row r="151">
      <c r="A151" t="n">
        <v>2027</v>
      </c>
      <c r="B151" s="1" t="n">
        <v>46692</v>
      </c>
      <c r="C151" t="inlineStr">
        <is>
          <t>Lunes</t>
        </is>
      </c>
      <c r="D151" t="inlineStr">
        <is>
          <t>Todos los Santos</t>
        </is>
      </c>
      <c r="E151" t="inlineStr">
        <is>
          <t>Religioso</t>
        </is>
      </c>
      <c r="F151" t="inlineStr">
        <is>
          <t>Nacional</t>
        </is>
      </c>
      <c r="G151" t="inlineStr">
        <is>
          <t>Todas</t>
        </is>
      </c>
      <c r="H151" t="inlineStr">
        <is>
          <t>No</t>
        </is>
      </c>
    </row>
    <row r="152">
      <c r="A152" t="n">
        <v>2027</v>
      </c>
      <c r="B152" s="1" t="n">
        <v>46729</v>
      </c>
      <c r="C152" t="inlineStr">
        <is>
          <t>Miércoles</t>
        </is>
      </c>
      <c r="D152" t="inlineStr">
        <is>
          <t>Inmaculada Concepción</t>
        </is>
      </c>
      <c r="E152" t="inlineStr">
        <is>
          <t>Religioso</t>
        </is>
      </c>
      <c r="F152" t="inlineStr">
        <is>
          <t>Nacional</t>
        </is>
      </c>
      <c r="G152" t="inlineStr">
        <is>
          <t>Todas</t>
        </is>
      </c>
      <c r="H152" t="inlineStr">
        <is>
          <t>No</t>
        </is>
      </c>
    </row>
    <row r="153">
      <c r="A153" t="n">
        <v>2027</v>
      </c>
      <c r="B153" s="1" t="n">
        <v>46746</v>
      </c>
      <c r="C153" t="inlineStr">
        <is>
          <t>Sábado</t>
        </is>
      </c>
      <c r="D153" t="inlineStr">
        <is>
          <t>Navidad</t>
        </is>
      </c>
      <c r="E153" t="inlineStr">
        <is>
          <t>Religioso</t>
        </is>
      </c>
      <c r="F153" t="inlineStr">
        <is>
          <t>Nacional</t>
        </is>
      </c>
      <c r="G153" t="inlineStr">
        <is>
          <t>Todas</t>
        </is>
      </c>
      <c r="H153" t="inlineStr">
        <is>
          <t>Sí</t>
        </is>
      </c>
    </row>
    <row r="154">
      <c r="A154" t="n">
        <v>2027</v>
      </c>
      <c r="B154" s="1" t="n">
        <v>46752</v>
      </c>
      <c r="C154" t="inlineStr">
        <is>
          <t>Viernes</t>
        </is>
      </c>
      <c r="D154" t="inlineStr">
        <is>
          <t>Feriado bancario fin de año</t>
        </is>
      </c>
      <c r="E154" t="inlineStr">
        <is>
          <t>Bancario</t>
        </is>
      </c>
      <c r="F154" t="inlineStr">
        <is>
          <t>Bancario</t>
        </is>
      </c>
      <c r="G154" t="inlineStr">
        <is>
          <t>Todas</t>
        </is>
      </c>
      <c r="H154" t="inlineStr">
        <is>
          <t>No</t>
        </is>
      </c>
    </row>
    <row r="155">
      <c r="A155" t="n">
        <v>2028</v>
      </c>
      <c r="B155" s="1" t="n">
        <v>46753</v>
      </c>
      <c r="C155" t="inlineStr">
        <is>
          <t>Sábado</t>
        </is>
      </c>
      <c r="D155" t="inlineStr">
        <is>
          <t>Año Nuevo</t>
        </is>
      </c>
      <c r="E155" t="inlineStr">
        <is>
          <t>Civil</t>
        </is>
      </c>
      <c r="F155" t="inlineStr">
        <is>
          <t>Nacional</t>
        </is>
      </c>
      <c r="G155" t="inlineStr">
        <is>
          <t>Todas</t>
        </is>
      </c>
      <c r="H155" t="inlineStr">
        <is>
          <t>Sí</t>
        </is>
      </c>
    </row>
    <row r="156">
      <c r="A156" t="n">
        <v>2028</v>
      </c>
      <c r="B156" s="1" t="n">
        <v>46857</v>
      </c>
      <c r="C156" t="inlineStr">
        <is>
          <t>Viernes</t>
        </is>
      </c>
      <c r="D156" t="inlineStr">
        <is>
          <t>Viernes Santo</t>
        </is>
      </c>
      <c r="E156" t="inlineStr">
        <is>
          <t>Religioso</t>
        </is>
      </c>
      <c r="F156" t="inlineStr">
        <is>
          <t>Nacional</t>
        </is>
      </c>
      <c r="G156" t="inlineStr">
        <is>
          <t>Todas</t>
        </is>
      </c>
      <c r="H156" t="inlineStr">
        <is>
          <t>No</t>
        </is>
      </c>
    </row>
    <row r="157">
      <c r="A157" t="n">
        <v>2028</v>
      </c>
      <c r="B157" s="1" t="n">
        <v>46858</v>
      </c>
      <c r="C157" t="inlineStr">
        <is>
          <t>Sábado</t>
        </is>
      </c>
      <c r="D157" t="inlineStr">
        <is>
          <t>Sábado Santo</t>
        </is>
      </c>
      <c r="E157" t="inlineStr">
        <is>
          <t>Religioso</t>
        </is>
      </c>
      <c r="F157" t="inlineStr">
        <is>
          <t>Nacional</t>
        </is>
      </c>
      <c r="G157" t="inlineStr">
        <is>
          <t>Todas</t>
        </is>
      </c>
      <c r="H157" t="inlineStr">
        <is>
          <t>No</t>
        </is>
      </c>
    </row>
    <row r="158">
      <c r="A158" t="n">
        <v>2028</v>
      </c>
      <c r="B158" s="1" t="n">
        <v>46874</v>
      </c>
      <c r="C158" t="inlineStr">
        <is>
          <t>Lunes</t>
        </is>
      </c>
      <c r="D158" t="inlineStr">
        <is>
          <t>Día Nacional del Trabajo</t>
        </is>
      </c>
      <c r="E158" t="inlineStr">
        <is>
          <t>Civil</t>
        </is>
      </c>
      <c r="F158" t="inlineStr">
        <is>
          <t>Nacional</t>
        </is>
      </c>
      <c r="G158" t="inlineStr">
        <is>
          <t>Todas</t>
        </is>
      </c>
      <c r="H158" t="inlineStr">
        <is>
          <t>Sí</t>
        </is>
      </c>
    </row>
    <row r="159">
      <c r="A159" t="n">
        <v>2028</v>
      </c>
      <c r="B159" s="1" t="n">
        <v>46894</v>
      </c>
      <c r="C159" t="inlineStr">
        <is>
          <t>Domingo</t>
        </is>
      </c>
      <c r="D159" t="inlineStr">
        <is>
          <t>Día de las Glorias Navales</t>
        </is>
      </c>
      <c r="E159" t="inlineStr">
        <is>
          <t>Civil</t>
        </is>
      </c>
      <c r="F159" t="inlineStr">
        <is>
          <t>Nacional</t>
        </is>
      </c>
      <c r="G159" t="inlineStr">
        <is>
          <t>Todas</t>
        </is>
      </c>
      <c r="H159" t="inlineStr">
        <is>
          <t>No</t>
        </is>
      </c>
    </row>
    <row r="160">
      <c r="A160" t="n">
        <v>2028</v>
      </c>
      <c r="B160" s="1" t="n">
        <v>46915</v>
      </c>
      <c r="C160" t="inlineStr">
        <is>
          <t>Domingo</t>
        </is>
      </c>
      <c r="D160" t="inlineStr">
        <is>
          <t>Primarias alcaldes y gobernadores</t>
        </is>
      </c>
      <c r="E160" t="inlineStr">
        <is>
          <t>Electoral</t>
        </is>
      </c>
      <c r="F160" t="inlineStr">
        <is>
          <t>Nacional</t>
        </is>
      </c>
      <c r="G160" t="inlineStr">
        <is>
          <t>Todas</t>
        </is>
      </c>
      <c r="H160" t="inlineStr">
        <is>
          <t>Sí</t>
        </is>
      </c>
      <c r="I160" t="inlineStr">
        <is>
          <t>Tentativo según fuente</t>
        </is>
      </c>
    </row>
    <row r="161">
      <c r="A161" t="n">
        <v>2028</v>
      </c>
      <c r="B161" s="1" t="n">
        <v>46924</v>
      </c>
      <c r="C161" t="inlineStr">
        <is>
          <t>Martes</t>
        </is>
      </c>
      <c r="D161" t="inlineStr">
        <is>
          <t>Día Nacional de los Pueblos Indígenas</t>
        </is>
      </c>
      <c r="E161" t="inlineStr">
        <is>
          <t>Civil</t>
        </is>
      </c>
      <c r="F161" t="inlineStr">
        <is>
          <t>Nacional</t>
        </is>
      </c>
      <c r="G161" t="inlineStr">
        <is>
          <t>Todas</t>
        </is>
      </c>
      <c r="H161" t="inlineStr">
        <is>
          <t>No</t>
        </is>
      </c>
    </row>
    <row r="162">
      <c r="A162" t="n">
        <v>2028</v>
      </c>
      <c r="B162" s="1" t="n">
        <v>46930</v>
      </c>
      <c r="C162" t="inlineStr">
        <is>
          <t>Lunes</t>
        </is>
      </c>
      <c r="D162" t="inlineStr">
        <is>
          <t>San Pedro y San Pablo</t>
        </is>
      </c>
      <c r="E162" t="inlineStr">
        <is>
          <t>Religioso</t>
        </is>
      </c>
      <c r="F162" t="inlineStr">
        <is>
          <t>Nacional</t>
        </is>
      </c>
      <c r="G162" t="inlineStr">
        <is>
          <t>Todas</t>
        </is>
      </c>
      <c r="H162" t="inlineStr">
        <is>
          <t>No</t>
        </is>
      </c>
    </row>
    <row r="163">
      <c r="A163" t="n">
        <v>2028</v>
      </c>
      <c r="B163" s="1" t="n">
        <v>46950</v>
      </c>
      <c r="C163" t="inlineStr">
        <is>
          <t>Domingo</t>
        </is>
      </c>
      <c r="D163" t="inlineStr">
        <is>
          <t>Virgen del Carmen</t>
        </is>
      </c>
      <c r="E163" t="inlineStr">
        <is>
          <t>Religioso</t>
        </is>
      </c>
      <c r="F163" t="inlineStr">
        <is>
          <t>Nacional</t>
        </is>
      </c>
      <c r="G163" t="inlineStr">
        <is>
          <t>Todas</t>
        </is>
      </c>
      <c r="H163" t="inlineStr">
        <is>
          <t>No</t>
        </is>
      </c>
    </row>
    <row r="164">
      <c r="A164" t="n">
        <v>2028</v>
      </c>
      <c r="B164" s="1" t="n">
        <v>46980</v>
      </c>
      <c r="C164" t="inlineStr">
        <is>
          <t>Martes</t>
        </is>
      </c>
      <c r="D164" t="inlineStr">
        <is>
          <t>Asunción de la Virgen</t>
        </is>
      </c>
      <c r="E164" t="inlineStr">
        <is>
          <t>Religioso</t>
        </is>
      </c>
      <c r="F164" t="inlineStr">
        <is>
          <t>Nacional</t>
        </is>
      </c>
      <c r="G164" t="inlineStr">
        <is>
          <t>Todas</t>
        </is>
      </c>
      <c r="H164" t="inlineStr">
        <is>
          <t>No</t>
        </is>
      </c>
    </row>
    <row r="165">
      <c r="A165" t="n">
        <v>2028</v>
      </c>
      <c r="B165" s="1" t="n">
        <v>47014</v>
      </c>
      <c r="C165" t="inlineStr">
        <is>
          <t>Lunes</t>
        </is>
      </c>
      <c r="D165" t="inlineStr">
        <is>
          <t>Independencia Nacional</t>
        </is>
      </c>
      <c r="E165" t="inlineStr">
        <is>
          <t>Civil</t>
        </is>
      </c>
      <c r="F165" t="inlineStr">
        <is>
          <t>Nacional</t>
        </is>
      </c>
      <c r="G165" t="inlineStr">
        <is>
          <t>Todas</t>
        </is>
      </c>
      <c r="H165" t="inlineStr">
        <is>
          <t>Sí</t>
        </is>
      </c>
    </row>
    <row r="166">
      <c r="A166" t="n">
        <v>2028</v>
      </c>
      <c r="B166" s="1" t="n">
        <v>47015</v>
      </c>
      <c r="C166" t="inlineStr">
        <is>
          <t>Martes</t>
        </is>
      </c>
      <c r="D166" t="inlineStr">
        <is>
          <t>Glorias del Ejército</t>
        </is>
      </c>
      <c r="E166" t="inlineStr">
        <is>
          <t>Civil</t>
        </is>
      </c>
      <c r="F166" t="inlineStr">
        <is>
          <t>Nacional</t>
        </is>
      </c>
      <c r="G166" t="inlineStr">
        <is>
          <t>Todas</t>
        </is>
      </c>
      <c r="H166" t="inlineStr">
        <is>
          <t>Sí</t>
        </is>
      </c>
    </row>
    <row r="167">
      <c r="A167" t="n">
        <v>2028</v>
      </c>
      <c r="B167" s="1" t="n">
        <v>47035</v>
      </c>
      <c r="C167" t="inlineStr">
        <is>
          <t>Lunes</t>
        </is>
      </c>
      <c r="D167" t="inlineStr">
        <is>
          <t>Encuentro de Dos Mundos</t>
        </is>
      </c>
      <c r="E167" t="inlineStr">
        <is>
          <t>Civil</t>
        </is>
      </c>
      <c r="F167" t="inlineStr">
        <is>
          <t>Nacional</t>
        </is>
      </c>
      <c r="G167" t="inlineStr">
        <is>
          <t>Todas</t>
        </is>
      </c>
      <c r="H167" t="inlineStr">
        <is>
          <t>No</t>
        </is>
      </c>
    </row>
    <row r="168">
      <c r="A168" t="n">
        <v>2028</v>
      </c>
      <c r="B168" s="1" t="n">
        <v>47053</v>
      </c>
      <c r="C168" t="inlineStr">
        <is>
          <t>Viernes</t>
        </is>
      </c>
      <c r="D168" t="inlineStr">
        <is>
          <t>Iglesias Evangélicas y Protestantes</t>
        </is>
      </c>
      <c r="E168" t="inlineStr">
        <is>
          <t>Religioso</t>
        </is>
      </c>
      <c r="F168" t="inlineStr">
        <is>
          <t>Nacional</t>
        </is>
      </c>
      <c r="G168" t="inlineStr">
        <is>
          <t>Todas</t>
        </is>
      </c>
      <c r="H168" t="inlineStr">
        <is>
          <t>No</t>
        </is>
      </c>
    </row>
    <row r="169">
      <c r="A169" t="n">
        <v>2028</v>
      </c>
      <c r="B169" s="1" t="n">
        <v>47055</v>
      </c>
      <c r="C169" t="inlineStr">
        <is>
          <t>Domingo</t>
        </is>
      </c>
      <c r="D169" t="inlineStr">
        <is>
          <t>Elecciones municipales y gobernadores</t>
        </is>
      </c>
      <c r="E169" t="inlineStr">
        <is>
          <t>Electoral</t>
        </is>
      </c>
      <c r="F169" t="inlineStr">
        <is>
          <t>Nacional</t>
        </is>
      </c>
      <c r="G169" t="inlineStr">
        <is>
          <t>Todas</t>
        </is>
      </c>
      <c r="H169" t="inlineStr">
        <is>
          <t>Sí</t>
        </is>
      </c>
    </row>
    <row r="170">
      <c r="A170" t="n">
        <v>2028</v>
      </c>
      <c r="B170" s="1" t="n">
        <v>47058</v>
      </c>
      <c r="C170" t="inlineStr">
        <is>
          <t>Miércoles</t>
        </is>
      </c>
      <c r="D170" t="inlineStr">
        <is>
          <t>Todos los Santos</t>
        </is>
      </c>
      <c r="E170" t="inlineStr">
        <is>
          <t>Religioso</t>
        </is>
      </c>
      <c r="F170" t="inlineStr">
        <is>
          <t>Nacional</t>
        </is>
      </c>
      <c r="G170" t="inlineStr">
        <is>
          <t>Todas</t>
        </is>
      </c>
      <c r="H170" t="inlineStr">
        <is>
          <t>No</t>
        </is>
      </c>
    </row>
    <row r="171">
      <c r="A171" t="n">
        <v>2028</v>
      </c>
      <c r="B171" s="1" t="n">
        <v>47095</v>
      </c>
      <c r="C171" t="inlineStr">
        <is>
          <t>Viernes</t>
        </is>
      </c>
      <c r="D171" t="inlineStr">
        <is>
          <t>Inmaculada Concepción</t>
        </is>
      </c>
      <c r="E171" t="inlineStr">
        <is>
          <t>Religioso</t>
        </is>
      </c>
      <c r="F171" t="inlineStr">
        <is>
          <t>Nacional</t>
        </is>
      </c>
      <c r="G171" t="inlineStr">
        <is>
          <t>Todas</t>
        </is>
      </c>
      <c r="H171" t="inlineStr">
        <is>
          <t>No</t>
        </is>
      </c>
    </row>
    <row r="172">
      <c r="A172" t="n">
        <v>2028</v>
      </c>
      <c r="B172" s="1" t="n">
        <v>47112</v>
      </c>
      <c r="C172" t="inlineStr">
        <is>
          <t>Lunes</t>
        </is>
      </c>
      <c r="D172" t="inlineStr">
        <is>
          <t>Navidad</t>
        </is>
      </c>
      <c r="E172" t="inlineStr">
        <is>
          <t>Religioso</t>
        </is>
      </c>
      <c r="F172" t="inlineStr">
        <is>
          <t>Nacional</t>
        </is>
      </c>
      <c r="G172" t="inlineStr">
        <is>
          <t>Todas</t>
        </is>
      </c>
      <c r="H172" t="inlineStr">
        <is>
          <t>Sí</t>
        </is>
      </c>
    </row>
    <row r="173">
      <c r="A173" t="n">
        <v>2029</v>
      </c>
      <c r="B173" s="1" t="n">
        <v>47119</v>
      </c>
      <c r="C173" t="inlineStr">
        <is>
          <t>Lunes</t>
        </is>
      </c>
      <c r="D173" t="inlineStr">
        <is>
          <t>Año Nuevo</t>
        </is>
      </c>
      <c r="E173" t="inlineStr">
        <is>
          <t>Civil</t>
        </is>
      </c>
      <c r="F173" t="inlineStr">
        <is>
          <t>Nacional</t>
        </is>
      </c>
      <c r="G173" t="inlineStr">
        <is>
          <t>Todas</t>
        </is>
      </c>
      <c r="H173" t="inlineStr">
        <is>
          <t>Sí</t>
        </is>
      </c>
    </row>
    <row r="174">
      <c r="A174" t="n">
        <v>2029</v>
      </c>
      <c r="B174" s="1" t="n">
        <v>47207</v>
      </c>
      <c r="C174" t="inlineStr">
        <is>
          <t>Viernes</t>
        </is>
      </c>
      <c r="D174" t="inlineStr">
        <is>
          <t>Viernes Santo</t>
        </is>
      </c>
      <c r="E174" t="inlineStr">
        <is>
          <t>Religioso</t>
        </is>
      </c>
      <c r="F174" t="inlineStr">
        <is>
          <t>Nacional</t>
        </is>
      </c>
      <c r="G174" t="inlineStr">
        <is>
          <t>Todas</t>
        </is>
      </c>
      <c r="H174" t="inlineStr">
        <is>
          <t>No</t>
        </is>
      </c>
    </row>
    <row r="175">
      <c r="A175" t="n">
        <v>2029</v>
      </c>
      <c r="B175" s="1" t="n">
        <v>47208</v>
      </c>
      <c r="C175" t="inlineStr">
        <is>
          <t>Sábado</t>
        </is>
      </c>
      <c r="D175" t="inlineStr">
        <is>
          <t>Sábado Santo</t>
        </is>
      </c>
      <c r="E175" t="inlineStr">
        <is>
          <t>Religioso</t>
        </is>
      </c>
      <c r="F175" t="inlineStr">
        <is>
          <t>Nacional</t>
        </is>
      </c>
      <c r="G175" t="inlineStr">
        <is>
          <t>Todas</t>
        </is>
      </c>
      <c r="H175" t="inlineStr">
        <is>
          <t>No</t>
        </is>
      </c>
    </row>
    <row r="176">
      <c r="A176" t="n">
        <v>2029</v>
      </c>
      <c r="B176" s="1" t="n">
        <v>47239</v>
      </c>
      <c r="C176" t="inlineStr">
        <is>
          <t>Martes</t>
        </is>
      </c>
      <c r="D176" t="inlineStr">
        <is>
          <t>Día Nacional del Trabajo</t>
        </is>
      </c>
      <c r="E176" t="inlineStr">
        <is>
          <t>Civil</t>
        </is>
      </c>
      <c r="F176" t="inlineStr">
        <is>
          <t>Nacional</t>
        </is>
      </c>
      <c r="G176" t="inlineStr">
        <is>
          <t>Todas</t>
        </is>
      </c>
      <c r="H176" t="inlineStr">
        <is>
          <t>Sí</t>
        </is>
      </c>
    </row>
    <row r="177">
      <c r="A177" t="n">
        <v>2029</v>
      </c>
      <c r="B177" s="1" t="n">
        <v>47259</v>
      </c>
      <c r="C177" t="inlineStr">
        <is>
          <t>Lunes</t>
        </is>
      </c>
      <c r="D177" t="inlineStr">
        <is>
          <t>Día de las Glorias Navales</t>
        </is>
      </c>
      <c r="E177" t="inlineStr">
        <is>
          <t>Civil</t>
        </is>
      </c>
      <c r="F177" t="inlineStr">
        <is>
          <t>Nacional</t>
        </is>
      </c>
      <c r="G177" t="inlineStr">
        <is>
          <t>Todas</t>
        </is>
      </c>
      <c r="H177" t="inlineStr">
        <is>
          <t>No</t>
        </is>
      </c>
    </row>
    <row r="178">
      <c r="A178" t="n">
        <v>2029</v>
      </c>
      <c r="B178" s="1" t="n">
        <v>47289</v>
      </c>
      <c r="C178" t="inlineStr">
        <is>
          <t>Miércoles</t>
        </is>
      </c>
      <c r="D178" t="inlineStr">
        <is>
          <t>Día Nacional de los Pueblos Indígenas</t>
        </is>
      </c>
      <c r="E178" t="inlineStr">
        <is>
          <t>Civil</t>
        </is>
      </c>
      <c r="F178" t="inlineStr">
        <is>
          <t>Nacional</t>
        </is>
      </c>
      <c r="G178" t="inlineStr">
        <is>
          <t>Todas</t>
        </is>
      </c>
      <c r="H178" t="inlineStr">
        <is>
          <t>No</t>
        </is>
      </c>
    </row>
    <row r="179">
      <c r="A179" t="n">
        <v>2029</v>
      </c>
      <c r="B179" s="1" t="n">
        <v>47300</v>
      </c>
      <c r="C179" t="inlineStr">
        <is>
          <t>Domingo</t>
        </is>
      </c>
      <c r="D179" t="inlineStr">
        <is>
          <t>Primarias presidenciales y congresistas</t>
        </is>
      </c>
      <c r="E179" t="inlineStr">
        <is>
          <t>Electoral</t>
        </is>
      </c>
      <c r="F179" t="inlineStr">
        <is>
          <t>Nacional</t>
        </is>
      </c>
      <c r="G179" t="inlineStr">
        <is>
          <t>Todas</t>
        </is>
      </c>
      <c r="H179" t="inlineStr">
        <is>
          <t>Sí</t>
        </is>
      </c>
      <c r="I179" t="inlineStr">
        <is>
          <t>Tentativo según fuente</t>
        </is>
      </c>
    </row>
    <row r="180">
      <c r="A180" t="n">
        <v>2029</v>
      </c>
      <c r="B180" s="1" t="n">
        <v>47301</v>
      </c>
      <c r="C180" t="inlineStr">
        <is>
          <t>Lunes</t>
        </is>
      </c>
      <c r="D180" t="inlineStr">
        <is>
          <t>San Pedro y San Pablo</t>
        </is>
      </c>
      <c r="E180" t="inlineStr">
        <is>
          <t>Religioso</t>
        </is>
      </c>
      <c r="F180" t="inlineStr">
        <is>
          <t>Nacional</t>
        </is>
      </c>
      <c r="G180" t="inlineStr">
        <is>
          <t>Todas</t>
        </is>
      </c>
      <c r="H180" t="inlineStr">
        <is>
          <t>No</t>
        </is>
      </c>
    </row>
    <row r="181">
      <c r="A181" t="n">
        <v>2029</v>
      </c>
      <c r="B181" s="1" t="n">
        <v>47315</v>
      </c>
      <c r="C181" t="inlineStr">
        <is>
          <t>Lunes</t>
        </is>
      </c>
      <c r="D181" t="inlineStr">
        <is>
          <t>Virgen del Carmen</t>
        </is>
      </c>
      <c r="E181" t="inlineStr">
        <is>
          <t>Religioso</t>
        </is>
      </c>
      <c r="F181" t="inlineStr">
        <is>
          <t>Nacional</t>
        </is>
      </c>
      <c r="G181" t="inlineStr">
        <is>
          <t>Todas</t>
        </is>
      </c>
      <c r="H181" t="inlineStr">
        <is>
          <t>No</t>
        </is>
      </c>
    </row>
    <row r="182">
      <c r="A182" t="n">
        <v>2029</v>
      </c>
      <c r="B182" s="1" t="n">
        <v>47345</v>
      </c>
      <c r="C182" t="inlineStr">
        <is>
          <t>Miércoles</t>
        </is>
      </c>
      <c r="D182" t="inlineStr">
        <is>
          <t>Asunción de la Virgen</t>
        </is>
      </c>
      <c r="E182" t="inlineStr">
        <is>
          <t>Religioso</t>
        </is>
      </c>
      <c r="F182" t="inlineStr">
        <is>
          <t>Nacional</t>
        </is>
      </c>
      <c r="G182" t="inlineStr">
        <is>
          <t>Todas</t>
        </is>
      </c>
      <c r="H182" t="inlineStr">
        <is>
          <t>No</t>
        </is>
      </c>
    </row>
    <row r="183">
      <c r="A183" t="n">
        <v>2029</v>
      </c>
      <c r="B183" s="1" t="n">
        <v>47378</v>
      </c>
      <c r="C183" t="inlineStr">
        <is>
          <t>Lunes</t>
        </is>
      </c>
      <c r="D183" t="inlineStr">
        <is>
          <t>Feriado adicional Fiestas Patrias</t>
        </is>
      </c>
      <c r="E183" t="inlineStr">
        <is>
          <t>Civil</t>
        </is>
      </c>
      <c r="F183" t="inlineStr">
        <is>
          <t>Nacional</t>
        </is>
      </c>
      <c r="G183" t="inlineStr">
        <is>
          <t>Todas</t>
        </is>
      </c>
      <c r="H183" t="inlineStr">
        <is>
          <t>No</t>
        </is>
      </c>
      <c r="I183" t="inlineStr">
        <is>
          <t>Sandwich dieciochero</t>
        </is>
      </c>
    </row>
    <row r="184">
      <c r="A184" t="n">
        <v>2029</v>
      </c>
      <c r="B184" s="1" t="n">
        <v>47379</v>
      </c>
      <c r="C184" t="inlineStr">
        <is>
          <t>Martes</t>
        </is>
      </c>
      <c r="D184" t="inlineStr">
        <is>
          <t>Independencia Nacional</t>
        </is>
      </c>
      <c r="E184" t="inlineStr">
        <is>
          <t>Civil</t>
        </is>
      </c>
      <c r="F184" t="inlineStr">
        <is>
          <t>Nacional</t>
        </is>
      </c>
      <c r="G184" t="inlineStr">
        <is>
          <t>Todas</t>
        </is>
      </c>
      <c r="H184" t="inlineStr">
        <is>
          <t>Sí</t>
        </is>
      </c>
    </row>
    <row r="185">
      <c r="A185" t="n">
        <v>2029</v>
      </c>
      <c r="B185" s="1" t="n">
        <v>47380</v>
      </c>
      <c r="C185" t="inlineStr">
        <is>
          <t>Miércoles</t>
        </is>
      </c>
      <c r="D185" t="inlineStr">
        <is>
          <t>Glorias del Ejército</t>
        </is>
      </c>
      <c r="E185" t="inlineStr">
        <is>
          <t>Civil</t>
        </is>
      </c>
      <c r="F185" t="inlineStr">
        <is>
          <t>Nacional</t>
        </is>
      </c>
      <c r="G185" t="inlineStr">
        <is>
          <t>Todas</t>
        </is>
      </c>
      <c r="H185" t="inlineStr">
        <is>
          <t>Sí</t>
        </is>
      </c>
    </row>
    <row r="186">
      <c r="A186" t="n">
        <v>2029</v>
      </c>
      <c r="B186" s="1" t="n">
        <v>47406</v>
      </c>
      <c r="C186" t="inlineStr">
        <is>
          <t>Lunes</t>
        </is>
      </c>
      <c r="D186" t="inlineStr">
        <is>
          <t>Encuentro de Dos Mundos</t>
        </is>
      </c>
      <c r="E186" t="inlineStr">
        <is>
          <t>Civil</t>
        </is>
      </c>
      <c r="F186" t="inlineStr">
        <is>
          <t>Nacional</t>
        </is>
      </c>
      <c r="G186" t="inlineStr">
        <is>
          <t>Todas</t>
        </is>
      </c>
      <c r="H186" t="inlineStr">
        <is>
          <t>No</t>
        </is>
      </c>
    </row>
    <row r="187">
      <c r="A187" t="n">
        <v>2029</v>
      </c>
      <c r="B187" s="1" t="n">
        <v>47423</v>
      </c>
      <c r="C187" t="inlineStr">
        <is>
          <t>Jueves</t>
        </is>
      </c>
      <c r="D187" t="inlineStr">
        <is>
          <t>Todos los Santos</t>
        </is>
      </c>
      <c r="E187" t="inlineStr">
        <is>
          <t>Religioso</t>
        </is>
      </c>
      <c r="F187" t="inlineStr">
        <is>
          <t>Nacional</t>
        </is>
      </c>
      <c r="G187" t="inlineStr">
        <is>
          <t>Todas</t>
        </is>
      </c>
      <c r="H187" t="inlineStr">
        <is>
          <t>No</t>
        </is>
      </c>
    </row>
    <row r="188">
      <c r="A188" t="n">
        <v>2029</v>
      </c>
      <c r="B188" s="1" t="n">
        <v>47424</v>
      </c>
      <c r="C188" t="inlineStr">
        <is>
          <t>Viernes</t>
        </is>
      </c>
      <c r="D188" t="inlineStr">
        <is>
          <t>Iglesias Evangélicas y Protestantes</t>
        </is>
      </c>
      <c r="E188" t="inlineStr">
        <is>
          <t>Religioso</t>
        </is>
      </c>
      <c r="F188" t="inlineStr">
        <is>
          <t>Nacional</t>
        </is>
      </c>
      <c r="G188" t="inlineStr">
        <is>
          <t>Todas</t>
        </is>
      </c>
      <c r="H188" t="inlineStr">
        <is>
          <t>No</t>
        </is>
      </c>
    </row>
    <row r="189">
      <c r="A189" t="n">
        <v>2029</v>
      </c>
      <c r="B189" s="1" t="n">
        <v>47440</v>
      </c>
      <c r="C189" t="inlineStr">
        <is>
          <t>Domingo</t>
        </is>
      </c>
      <c r="D189" t="inlineStr">
        <is>
          <t>Elecciones presidenciales primera vuelta y congresistas</t>
        </is>
      </c>
      <c r="E189" t="inlineStr">
        <is>
          <t>Electoral</t>
        </is>
      </c>
      <c r="F189" t="inlineStr">
        <is>
          <t>Nacional</t>
        </is>
      </c>
      <c r="G189" t="inlineStr">
        <is>
          <t>Todas</t>
        </is>
      </c>
      <c r="H189" t="inlineStr">
        <is>
          <t>Sí</t>
        </is>
      </c>
    </row>
    <row r="190">
      <c r="A190" t="n">
        <v>2029</v>
      </c>
      <c r="B190" s="1" t="n">
        <v>47460</v>
      </c>
      <c r="C190" t="inlineStr">
        <is>
          <t>Sábado</t>
        </is>
      </c>
      <c r="D190" t="inlineStr">
        <is>
          <t>Inmaculada Concepción</t>
        </is>
      </c>
      <c r="E190" t="inlineStr">
        <is>
          <t>Religioso</t>
        </is>
      </c>
      <c r="F190" t="inlineStr">
        <is>
          <t>Nacional</t>
        </is>
      </c>
      <c r="G190" t="inlineStr">
        <is>
          <t>Todas</t>
        </is>
      </c>
      <c r="H190" t="inlineStr">
        <is>
          <t>No</t>
        </is>
      </c>
    </row>
    <row r="191">
      <c r="A191" t="n">
        <v>2029</v>
      </c>
      <c r="B191" s="1" t="n">
        <v>47468</v>
      </c>
      <c r="C191" t="inlineStr">
        <is>
          <t>Domingo</t>
        </is>
      </c>
      <c r="D191" t="inlineStr">
        <is>
          <t>Elecciones presidenciales segunda vuelta</t>
        </is>
      </c>
      <c r="E191" t="inlineStr">
        <is>
          <t>Electoral</t>
        </is>
      </c>
      <c r="F191" t="inlineStr">
        <is>
          <t>Nacional</t>
        </is>
      </c>
      <c r="G191" t="inlineStr">
        <is>
          <t>Todas</t>
        </is>
      </c>
      <c r="H191" t="inlineStr">
        <is>
          <t>Sí</t>
        </is>
      </c>
      <c r="I191" t="inlineStr">
        <is>
          <t>Depende de resultados primera vuelta</t>
        </is>
      </c>
    </row>
    <row r="192">
      <c r="A192" t="n">
        <v>2029</v>
      </c>
      <c r="B192" s="1" t="n">
        <v>47477</v>
      </c>
      <c r="C192" t="inlineStr">
        <is>
          <t>Martes</t>
        </is>
      </c>
      <c r="D192" t="inlineStr">
        <is>
          <t>Navidad</t>
        </is>
      </c>
      <c r="E192" t="inlineStr">
        <is>
          <t>Religioso</t>
        </is>
      </c>
      <c r="F192" t="inlineStr">
        <is>
          <t>Nacional</t>
        </is>
      </c>
      <c r="G192" t="inlineStr">
        <is>
          <t>Todas</t>
        </is>
      </c>
      <c r="H192" t="inlineStr">
        <is>
          <t>Sí</t>
        </is>
      </c>
    </row>
    <row r="193">
      <c r="A193" t="n">
        <v>2029</v>
      </c>
      <c r="B193" s="1" t="n">
        <v>47483</v>
      </c>
      <c r="C193" t="inlineStr">
        <is>
          <t>Lunes</t>
        </is>
      </c>
      <c r="D193" t="inlineStr">
        <is>
          <t>Feriado bancario fin de año</t>
        </is>
      </c>
      <c r="E193" t="inlineStr">
        <is>
          <t>Bancario</t>
        </is>
      </c>
      <c r="F193" t="inlineStr">
        <is>
          <t>Bancario</t>
        </is>
      </c>
      <c r="G193" t="inlineStr">
        <is>
          <t>Todas</t>
        </is>
      </c>
      <c r="H193" t="inlineStr">
        <is>
          <t>No</t>
        </is>
      </c>
    </row>
    <row r="194">
      <c r="A194" t="n">
        <v>2030</v>
      </c>
      <c r="B194" s="1" t="n">
        <v>47484</v>
      </c>
      <c r="C194" t="inlineStr">
        <is>
          <t>Martes</t>
        </is>
      </c>
      <c r="D194" t="inlineStr">
        <is>
          <t>Año Nuevo</t>
        </is>
      </c>
      <c r="E194" t="inlineStr">
        <is>
          <t>Civil</t>
        </is>
      </c>
      <c r="F194" t="inlineStr">
        <is>
          <t>Nacional</t>
        </is>
      </c>
      <c r="G194" t="inlineStr">
        <is>
          <t>Todas</t>
        </is>
      </c>
      <c r="H194" t="inlineStr">
        <is>
          <t>Sí</t>
        </is>
      </c>
    </row>
    <row r="195">
      <c r="A195" t="n">
        <v>2030</v>
      </c>
      <c r="B195" s="1" t="n">
        <v>47592</v>
      </c>
      <c r="C195" t="inlineStr">
        <is>
          <t>Viernes</t>
        </is>
      </c>
      <c r="D195" t="inlineStr">
        <is>
          <t>Viernes Santo</t>
        </is>
      </c>
      <c r="E195" t="inlineStr">
        <is>
          <t>Religioso</t>
        </is>
      </c>
      <c r="F195" t="inlineStr">
        <is>
          <t>Nacional</t>
        </is>
      </c>
      <c r="G195" t="inlineStr">
        <is>
          <t>Todas</t>
        </is>
      </c>
      <c r="H195" t="inlineStr">
        <is>
          <t>No</t>
        </is>
      </c>
    </row>
    <row r="196">
      <c r="A196" t="n">
        <v>2030</v>
      </c>
      <c r="B196" s="1" t="n">
        <v>47593</v>
      </c>
      <c r="C196" t="inlineStr">
        <is>
          <t>Sábado</t>
        </is>
      </c>
      <c r="D196" t="inlineStr">
        <is>
          <t>Sábado Santo</t>
        </is>
      </c>
      <c r="E196" t="inlineStr">
        <is>
          <t>Religioso</t>
        </is>
      </c>
      <c r="F196" t="inlineStr">
        <is>
          <t>Nacional</t>
        </is>
      </c>
      <c r="G196" t="inlineStr">
        <is>
          <t>Todas</t>
        </is>
      </c>
      <c r="H196" t="inlineStr">
        <is>
          <t>No</t>
        </is>
      </c>
    </row>
    <row r="197">
      <c r="A197" t="n">
        <v>2030</v>
      </c>
      <c r="B197" s="1" t="n">
        <v>47604</v>
      </c>
      <c r="C197" t="inlineStr">
        <is>
          <t>Miércoles</t>
        </is>
      </c>
      <c r="D197" t="inlineStr">
        <is>
          <t>Día Nacional del Trabajo</t>
        </is>
      </c>
      <c r="E197" t="inlineStr">
        <is>
          <t>Civil</t>
        </is>
      </c>
      <c r="F197" t="inlineStr">
        <is>
          <t>Nacional</t>
        </is>
      </c>
      <c r="G197" t="inlineStr">
        <is>
          <t>Todas</t>
        </is>
      </c>
      <c r="H197" t="inlineStr">
        <is>
          <t>Sí</t>
        </is>
      </c>
    </row>
    <row r="198">
      <c r="A198" t="n">
        <v>2030</v>
      </c>
      <c r="B198" s="1" t="n">
        <v>47624</v>
      </c>
      <c r="C198" t="inlineStr">
        <is>
          <t>Martes</t>
        </is>
      </c>
      <c r="D198" t="inlineStr">
        <is>
          <t>Día de las Glorias Navales</t>
        </is>
      </c>
      <c r="E198" t="inlineStr">
        <is>
          <t>Civil</t>
        </is>
      </c>
      <c r="F198" t="inlineStr">
        <is>
          <t>Nacional</t>
        </is>
      </c>
      <c r="G198" t="inlineStr">
        <is>
          <t>Todas</t>
        </is>
      </c>
      <c r="H198" t="inlineStr">
        <is>
          <t>No</t>
        </is>
      </c>
    </row>
    <row r="199">
      <c r="A199" t="n">
        <v>2030</v>
      </c>
      <c r="B199" s="1" t="n">
        <v>47655</v>
      </c>
      <c r="C199" t="inlineStr">
        <is>
          <t>Viernes</t>
        </is>
      </c>
      <c r="D199" t="inlineStr">
        <is>
          <t>Día Nacional de los Pueblos Indígenas</t>
        </is>
      </c>
      <c r="E199" t="inlineStr">
        <is>
          <t>Civil</t>
        </is>
      </c>
      <c r="F199" t="inlineStr">
        <is>
          <t>Nacional</t>
        </is>
      </c>
      <c r="G199" t="inlineStr">
        <is>
          <t>Todas</t>
        </is>
      </c>
      <c r="H199" t="inlineStr">
        <is>
          <t>No</t>
        </is>
      </c>
    </row>
    <row r="200">
      <c r="A200" t="n">
        <v>2030</v>
      </c>
      <c r="B200" s="1" t="n">
        <v>47663</v>
      </c>
      <c r="C200" t="inlineStr">
        <is>
          <t>Sábado</t>
        </is>
      </c>
      <c r="D200" t="inlineStr">
        <is>
          <t>San Pedro y San Pablo</t>
        </is>
      </c>
      <c r="E200" t="inlineStr">
        <is>
          <t>Religioso</t>
        </is>
      </c>
      <c r="F200" t="inlineStr">
        <is>
          <t>Nacional</t>
        </is>
      </c>
      <c r="G200" t="inlineStr">
        <is>
          <t>Todas</t>
        </is>
      </c>
      <c r="H200" t="inlineStr">
        <is>
          <t>No</t>
        </is>
      </c>
    </row>
    <row r="201">
      <c r="A201" t="n">
        <v>2030</v>
      </c>
      <c r="B201" s="1" t="n">
        <v>47680</v>
      </c>
      <c r="C201" t="inlineStr">
        <is>
          <t>Martes</t>
        </is>
      </c>
      <c r="D201" t="inlineStr">
        <is>
          <t>Virgen del Carmen</t>
        </is>
      </c>
      <c r="E201" t="inlineStr">
        <is>
          <t>Religioso</t>
        </is>
      </c>
      <c r="F201" t="inlineStr">
        <is>
          <t>Nacional</t>
        </is>
      </c>
      <c r="G201" t="inlineStr">
        <is>
          <t>Todas</t>
        </is>
      </c>
      <c r="H201" t="inlineStr">
        <is>
          <t>No</t>
        </is>
      </c>
    </row>
    <row r="202">
      <c r="A202" t="n">
        <v>2030</v>
      </c>
      <c r="B202" s="1" t="n">
        <v>47710</v>
      </c>
      <c r="C202" t="inlineStr">
        <is>
          <t>Jueves</t>
        </is>
      </c>
      <c r="D202" t="inlineStr">
        <is>
          <t>Asunción de la Virgen</t>
        </is>
      </c>
      <c r="E202" t="inlineStr">
        <is>
          <t>Religioso</t>
        </is>
      </c>
      <c r="F202" t="inlineStr">
        <is>
          <t>Nacional</t>
        </is>
      </c>
      <c r="G202" t="inlineStr">
        <is>
          <t>Todas</t>
        </is>
      </c>
      <c r="H202" t="inlineStr">
        <is>
          <t>No</t>
        </is>
      </c>
    </row>
    <row r="203">
      <c r="A203" t="n">
        <v>2030</v>
      </c>
      <c r="B203" s="1" t="n">
        <v>47744</v>
      </c>
      <c r="C203" t="inlineStr">
        <is>
          <t>Miércoles</t>
        </is>
      </c>
      <c r="D203" t="inlineStr">
        <is>
          <t>Independencia Nacional</t>
        </is>
      </c>
      <c r="E203" t="inlineStr">
        <is>
          <t>Civil</t>
        </is>
      </c>
      <c r="F203" t="inlineStr">
        <is>
          <t>Nacional</t>
        </is>
      </c>
      <c r="G203" t="inlineStr">
        <is>
          <t>Todas</t>
        </is>
      </c>
      <c r="H203" t="inlineStr">
        <is>
          <t>Sí</t>
        </is>
      </c>
    </row>
    <row r="204">
      <c r="A204" t="n">
        <v>2030</v>
      </c>
      <c r="B204" s="1" t="n">
        <v>47745</v>
      </c>
      <c r="C204" t="inlineStr">
        <is>
          <t>Jueves</t>
        </is>
      </c>
      <c r="D204" t="inlineStr">
        <is>
          <t>Glorias del Ejército</t>
        </is>
      </c>
      <c r="E204" t="inlineStr">
        <is>
          <t>Civil</t>
        </is>
      </c>
      <c r="F204" t="inlineStr">
        <is>
          <t>Nacional</t>
        </is>
      </c>
      <c r="G204" t="inlineStr">
        <is>
          <t>Todas</t>
        </is>
      </c>
      <c r="H204" t="inlineStr">
        <is>
          <t>Sí</t>
        </is>
      </c>
    </row>
    <row r="205">
      <c r="A205" t="n">
        <v>2030</v>
      </c>
      <c r="B205" s="1" t="n">
        <v>47746</v>
      </c>
      <c r="C205" t="inlineStr">
        <is>
          <t>Viernes</t>
        </is>
      </c>
      <c r="D205" t="inlineStr">
        <is>
          <t>Feriado adicional Fiestas Patrias</t>
        </is>
      </c>
      <c r="E205" t="inlineStr">
        <is>
          <t>Civil</t>
        </is>
      </c>
      <c r="F205" t="inlineStr">
        <is>
          <t>Nacional</t>
        </is>
      </c>
      <c r="G205" t="inlineStr">
        <is>
          <t>Todas</t>
        </is>
      </c>
      <c r="H205" t="inlineStr">
        <is>
          <t>No</t>
        </is>
      </c>
      <c r="I205" t="inlineStr">
        <is>
          <t>Sandwich dieciochero</t>
        </is>
      </c>
    </row>
    <row r="206">
      <c r="A206" t="n">
        <v>2030</v>
      </c>
      <c r="B206" s="1" t="n">
        <v>47768</v>
      </c>
      <c r="C206" t="inlineStr">
        <is>
          <t>Sábado</t>
        </is>
      </c>
      <c r="D206" t="inlineStr">
        <is>
          <t>Encuentro de Dos Mundos</t>
        </is>
      </c>
      <c r="E206" t="inlineStr">
        <is>
          <t>Civil</t>
        </is>
      </c>
      <c r="F206" t="inlineStr">
        <is>
          <t>Nacional</t>
        </is>
      </c>
      <c r="G206" t="inlineStr">
        <is>
          <t>Todas</t>
        </is>
      </c>
      <c r="H206" t="inlineStr">
        <is>
          <t>No</t>
        </is>
      </c>
    </row>
    <row r="207">
      <c r="A207" t="n">
        <v>2030</v>
      </c>
      <c r="B207" s="1" t="n">
        <v>47787</v>
      </c>
      <c r="C207" t="inlineStr">
        <is>
          <t>Jueves</t>
        </is>
      </c>
      <c r="D207" t="inlineStr">
        <is>
          <t>Iglesias Evangélicas y Protestantes</t>
        </is>
      </c>
      <c r="E207" t="inlineStr">
        <is>
          <t>Religioso</t>
        </is>
      </c>
      <c r="F207" t="inlineStr">
        <is>
          <t>Nacional</t>
        </is>
      </c>
      <c r="G207" t="inlineStr">
        <is>
          <t>Todas</t>
        </is>
      </c>
      <c r="H207" t="inlineStr">
        <is>
          <t>No</t>
        </is>
      </c>
    </row>
    <row r="208">
      <c r="A208" t="n">
        <v>2030</v>
      </c>
      <c r="B208" s="1" t="n">
        <v>47788</v>
      </c>
      <c r="C208" t="inlineStr">
        <is>
          <t>Viernes</t>
        </is>
      </c>
      <c r="D208" t="inlineStr">
        <is>
          <t>Todos los Santos</t>
        </is>
      </c>
      <c r="E208" t="inlineStr">
        <is>
          <t>Religioso</t>
        </is>
      </c>
      <c r="F208" t="inlineStr">
        <is>
          <t>Nacional</t>
        </is>
      </c>
      <c r="G208" t="inlineStr">
        <is>
          <t>Todas</t>
        </is>
      </c>
      <c r="H208" t="inlineStr">
        <is>
          <t>No</t>
        </is>
      </c>
    </row>
    <row r="209">
      <c r="A209" t="n">
        <v>2030</v>
      </c>
      <c r="B209" s="1" t="n">
        <v>47825</v>
      </c>
      <c r="C209" t="inlineStr">
        <is>
          <t>Domingo</t>
        </is>
      </c>
      <c r="D209" t="inlineStr">
        <is>
          <t>Inmaculada Concepción</t>
        </is>
      </c>
      <c r="E209" t="inlineStr">
        <is>
          <t>Religioso</t>
        </is>
      </c>
      <c r="F209" t="inlineStr">
        <is>
          <t>Nacional</t>
        </is>
      </c>
      <c r="G209" t="inlineStr">
        <is>
          <t>Todas</t>
        </is>
      </c>
      <c r="H209" t="inlineStr">
        <is>
          <t>No</t>
        </is>
      </c>
    </row>
    <row r="210">
      <c r="A210" t="n">
        <v>2030</v>
      </c>
      <c r="B210" s="1" t="n">
        <v>47842</v>
      </c>
      <c r="C210" t="inlineStr">
        <is>
          <t>Miércoles</t>
        </is>
      </c>
      <c r="D210" t="inlineStr">
        <is>
          <t>Navidad</t>
        </is>
      </c>
      <c r="E210" t="inlineStr">
        <is>
          <t>Religioso</t>
        </is>
      </c>
      <c r="F210" t="inlineStr">
        <is>
          <t>Nacional</t>
        </is>
      </c>
      <c r="G210" t="inlineStr">
        <is>
          <t>Todas</t>
        </is>
      </c>
      <c r="H210" t="inlineStr">
        <is>
          <t>Sí</t>
        </is>
      </c>
    </row>
    <row r="211">
      <c r="A211" t="n">
        <v>2030</v>
      </c>
      <c r="B211" s="1" t="n">
        <v>47848</v>
      </c>
      <c r="C211" t="inlineStr">
        <is>
          <t>Martes</t>
        </is>
      </c>
      <c r="D211" t="inlineStr">
        <is>
          <t>Feriado bancario fin de año</t>
        </is>
      </c>
      <c r="E211" t="inlineStr">
        <is>
          <t>Bancario</t>
        </is>
      </c>
      <c r="F211" t="inlineStr">
        <is>
          <t>Bancario</t>
        </is>
      </c>
      <c r="G211" t="inlineStr">
        <is>
          <t>Todas</t>
        </is>
      </c>
      <c r="H211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2025-12-17T14:03:37Z</dcterms:created>
  <dcterms:modified xsi:type="dcterms:W3CDTF">2026-01-30T19:44:06Z</dcterms:modified>
  <cp:lastModifiedBy>Tomás Valdés Guerrero</cp:lastModifiedBy>
</cp:coreProperties>
</file>